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USER X\Downloads\"/>
    </mc:Choice>
  </mc:AlternateContent>
  <xr:revisionPtr revIDLastSave="0" documentId="8_{B7AD58A8-0965-4DC1-9A25-A1599B2B9C0B}" xr6:coauthVersionLast="47" xr6:coauthVersionMax="47" xr10:uidLastSave="{00000000-0000-0000-0000-000000000000}"/>
  <bookViews>
    <workbookView xWindow="-108" yWindow="-108" windowWidth="23256" windowHeight="12456" firstSheet="1" activeTab="2" xr2:uid="{00000000-000D-0000-FFFF-FFFF00000000}"/>
  </bookViews>
  <sheets>
    <sheet name="bike_buyers" sheetId="1" r:id="rId1"/>
    <sheet name="working sheet" sheetId="4" r:id="rId2"/>
    <sheet name="Dashboard" sheetId="2" r:id="rId3"/>
    <sheet name="Sheet1" sheetId="5" r:id="rId4"/>
    <sheet name="Sheet3" sheetId="7" r:id="rId5"/>
    <sheet name="pivot table" sheetId="3" r:id="rId6"/>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<sst xmlns="http://schemas.openxmlformats.org/spreadsheetml/2006/main" count="20290" uniqueCount="52">
  <si>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</si>
  <si>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</si>
  <si>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</si>
  <si>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</si>
  <si>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</si>
  <si>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</si>
  <si>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</si>
  <si>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</si>
  <si>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</si>
  <si>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</si>
  <si>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</si>
  <si>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</si>
  <si>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</si>
  <si>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</si>
  <si>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</si>
  <si>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</si>
  <si>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</si>
  <si>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</si>
  <si>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</si>
  <si>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</si>
  <si>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</si>
  <si>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</si>
  <si>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</si>
  <si>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</si>
  <si>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</si>
  <si>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</si>
  <si>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</si>
  <si>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</si>
  <si>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</si>
  <si>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</si>
  <si>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</si>
  <si>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</si>
  <si>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</si>
  <si>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</si>
  <si>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</si>
  <si>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</si>
  <si>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</si>
  <si>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</si>
  <si>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</si>
  <si>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Age Bracket</t>
  </si>
  <si>
    <t>Row Labels</t>
  </si>
  <si>
    <t>Grand Total</t>
  </si>
  <si>
    <t>FEMALE</t>
  </si>
  <si>
    <t>Marital status</t>
  </si>
  <si>
    <t>Average of Income</t>
  </si>
  <si>
    <t>Column Labels</t>
  </si>
  <si>
    <t>Count of Purchased Bike</t>
  </si>
  <si>
    <t>middle age</t>
  </si>
  <si>
    <t>old</t>
  </si>
  <si>
    <t>Adolescent</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</si>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</sst>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4</c:v>
                </c:pt>
                <c:pt idx="3">
                  <c:v>1</c:v>
                </c:pt>
                <c:pt idx="4">
                  <c:v>1</c:v>
                </c:pt>
              </c:numCache>
            </c:numRef>
          </c:val>
          <c:smooth val="0"/>
          <c:extLst>
            <c:ext xmlns:c16="http://schemas.microsoft.com/office/drawing/2014/chart" uri="{C3380CC4-5D6E-409C-BE32-E72D297353CC}">
              <c16:uniqueId val="{00000000-0DE4-4570-A702-93FA807E73F5}"/>
            </c:ext>
          </c:extLst>
        </c:ser>
        <c:ser>
          <c:idx val="1"/>
          <c:order val="1"/>
          <c:tx>
            <c:strRef>
              <c:f>'pivot table'!$C$17:$C$18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3</c:v>
                </c:pt>
                <c:pt idx="1">
                  <c:v>1</c:v>
                </c:pt>
                <c:pt idx="2">
                  <c:v>2</c:v>
                </c:pt>
                <c:pt idx="3">
                  <c:v>1</c:v>
                </c:pt>
              </c:numCache>
            </c:numRef>
          </c:val>
          <c:smooth val="0"/>
          <c:extLst>
            <c:ext xmlns:c16="http://schemas.microsoft.com/office/drawing/2014/chart" uri="{C3380CC4-5D6E-409C-BE32-E72D297353CC}">
              <c16:uniqueId val="{00000001-0DE4-4570-A702-93FA807E73F5}"/>
            </c:ext>
          </c:extLst>
        </c:ser>
        <c:dLbls>
          <c:showLegendKey val="0"/>
          <c:showVal val="0"/>
          <c:showCatName val="0"/>
          <c:showSerName val="0"/>
          <c:showPercent val="0"/>
          <c:showBubbleSize val="0"/>
        </c:dLbls>
        <c:marker val="1"/>
        <c:smooth val="0"/>
        <c:axId val="549005824"/>
        <c:axId val="549006304"/>
      </c:lineChart>
      <c:catAx>
        <c:axId val="5490058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a:p>
                <a:pPr>
                  <a:defRPr/>
                </a:pPr>
                <a:endParaRPr lang="en-US"/>
              </a:p>
            </c:rich>
          </c:tx>
          <c:layout>
            <c:manualLayout>
              <c:xMode val="edge"/>
              <c:yMode val="edge"/>
              <c:x val="0.35853346456692919"/>
              <c:y val="0.7444929279673374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9006304"/>
        <c:crosses val="autoZero"/>
        <c:auto val="1"/>
        <c:lblAlgn val="ctr"/>
        <c:lblOffset val="100"/>
        <c:noMultiLvlLbl val="0"/>
      </c:catAx>
      <c:valAx>
        <c:axId val="5490063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900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age brackets</a:t>
            </a:r>
          </a:p>
          <a:p>
            <a:pPr>
              <a:defRPr/>
            </a:pPr>
            <a:endParaRPr lang="en-US"/>
          </a:p>
        </c:rich>
      </c:tx>
      <c:layout>
        <c:manualLayout>
          <c:xMode val="edge"/>
          <c:yMode val="edge"/>
          <c:x val="0.31651377952755905"/>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table'!$A$37:$A$39</c:f>
              <c:strCache>
                <c:ptCount val="2"/>
                <c:pt idx="0">
                  <c:v>middle age</c:v>
                </c:pt>
                <c:pt idx="1">
                  <c:v>old</c:v>
                </c:pt>
              </c:strCache>
            </c:strRef>
          </c:cat>
          <c:val>
            <c:numRef>
              <c:f>'pivot table'!$B$37:$B$39</c:f>
              <c:numCache>
                <c:formatCode>General</c:formatCode>
                <c:ptCount val="2"/>
                <c:pt idx="0">
                  <c:v>6</c:v>
                </c:pt>
              </c:numCache>
            </c:numRef>
          </c:val>
          <c:smooth val="0"/>
          <c:extLst>
            <c:ext xmlns:c16="http://schemas.microsoft.com/office/drawing/2014/chart" uri="{C3380CC4-5D6E-409C-BE32-E72D297353CC}">
              <c16:uniqueId val="{00000000-B666-4955-B778-A7385790231D}"/>
            </c:ext>
          </c:extLst>
        </c:ser>
        <c:ser>
          <c:idx val="1"/>
          <c:order val="1"/>
          <c:tx>
            <c:strRef>
              <c:f>'pivot table'!$C$35:$C$36</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table'!$A$37:$A$39</c:f>
              <c:strCache>
                <c:ptCount val="2"/>
                <c:pt idx="0">
                  <c:v>middle age</c:v>
                </c:pt>
                <c:pt idx="1">
                  <c:v>old</c:v>
                </c:pt>
              </c:strCache>
            </c:strRef>
          </c:cat>
          <c:val>
            <c:numRef>
              <c:f>'pivot table'!$C$37:$C$39</c:f>
              <c:numCache>
                <c:formatCode>General</c:formatCode>
                <c:ptCount val="2"/>
                <c:pt idx="0">
                  <c:v>4</c:v>
                </c:pt>
                <c:pt idx="1">
                  <c:v>3</c:v>
                </c:pt>
              </c:numCache>
            </c:numRef>
          </c:val>
          <c:smooth val="0"/>
          <c:extLst>
            <c:ext xmlns:c16="http://schemas.microsoft.com/office/drawing/2014/chart" uri="{C3380CC4-5D6E-409C-BE32-E72D297353CC}">
              <c16:uniqueId val="{00000001-B666-4955-B778-A7385790231D}"/>
            </c:ext>
          </c:extLst>
        </c:ser>
        <c:dLbls>
          <c:showLegendKey val="0"/>
          <c:showVal val="0"/>
          <c:showCatName val="0"/>
          <c:showSerName val="0"/>
          <c:showPercent val="0"/>
          <c:showBubbleSize val="0"/>
        </c:dLbls>
        <c:marker val="1"/>
        <c:smooth val="0"/>
        <c:axId val="545929504"/>
        <c:axId val="545943904"/>
      </c:lineChart>
      <c:catAx>
        <c:axId val="5459295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943904"/>
        <c:crosses val="autoZero"/>
        <c:auto val="1"/>
        <c:lblAlgn val="ctr"/>
        <c:lblOffset val="100"/>
        <c:noMultiLvlLbl val="0"/>
      </c:catAx>
      <c:valAx>
        <c:axId val="5459439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92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table!PivotTable3</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per purchase</a:t>
            </a:r>
          </a:p>
          <a:p>
            <a:pPr>
              <a:defRPr/>
            </a:pPr>
            <a:endParaRPr lang="en-US"/>
          </a:p>
        </c:rich>
      </c:tx>
      <c:layout>
        <c:manualLayout>
          <c:xMode val="edge"/>
          <c:yMode val="edge"/>
          <c:x val="0.2958678915135608"/>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92500</c:v>
                </c:pt>
                <c:pt idx="1">
                  <c:v>105000</c:v>
                </c:pt>
              </c:numCache>
            </c:numRef>
          </c:val>
          <c:extLst>
            <c:ext xmlns:c16="http://schemas.microsoft.com/office/drawing/2014/chart" uri="{C3380CC4-5D6E-409C-BE32-E72D297353CC}">
              <c16:uniqueId val="{00000000-B54A-4DFC-AD0E-53683E1D62F9}"/>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90000</c:v>
                </c:pt>
                <c:pt idx="1">
                  <c:v>81666.666666666672</c:v>
                </c:pt>
              </c:numCache>
            </c:numRef>
          </c:val>
          <c:extLst>
            <c:ext xmlns:c16="http://schemas.microsoft.com/office/drawing/2014/chart" uri="{C3380CC4-5D6E-409C-BE32-E72D297353CC}">
              <c16:uniqueId val="{00000001-B54A-4DFC-AD0E-53683E1D62F9}"/>
            </c:ext>
          </c:extLst>
        </c:ser>
        <c:dLbls>
          <c:showLegendKey val="0"/>
          <c:showVal val="0"/>
          <c:showCatName val="0"/>
          <c:showSerName val="0"/>
          <c:showPercent val="0"/>
          <c:showBubbleSize val="0"/>
        </c:dLbls>
        <c:gapWidth val="100"/>
        <c:overlap val="-24"/>
        <c:axId val="452709664"/>
        <c:axId val="452711104"/>
      </c:barChart>
      <c:catAx>
        <c:axId val="4527096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2711104"/>
        <c:crosses val="autoZero"/>
        <c:auto val="1"/>
        <c:lblAlgn val="ctr"/>
        <c:lblOffset val="100"/>
        <c:noMultiLvlLbl val="0"/>
      </c:catAx>
      <c:valAx>
        <c:axId val="4527111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2709664"/>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92500</c:v>
                </c:pt>
                <c:pt idx="1">
                  <c:v>105000</c:v>
                </c:pt>
              </c:numCache>
            </c:numRef>
          </c:val>
          <c:extLst>
            <c:ext xmlns:c16="http://schemas.microsoft.com/office/drawing/2014/chart" uri="{C3380CC4-5D6E-409C-BE32-E72D297353CC}">
              <c16:uniqueId val="{00000000-8566-4E5C-8899-0667CF18774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90000</c:v>
                </c:pt>
                <c:pt idx="1">
                  <c:v>81666.666666666672</c:v>
                </c:pt>
              </c:numCache>
            </c:numRef>
          </c:val>
          <c:extLst>
            <c:ext xmlns:c16="http://schemas.microsoft.com/office/drawing/2014/chart" uri="{C3380CC4-5D6E-409C-BE32-E72D297353CC}">
              <c16:uniqueId val="{00000001-8566-4E5C-8899-0667CF18774C}"/>
            </c:ext>
          </c:extLst>
        </c:ser>
        <c:dLbls>
          <c:showLegendKey val="0"/>
          <c:showVal val="0"/>
          <c:showCatName val="0"/>
          <c:showSerName val="0"/>
          <c:showPercent val="0"/>
          <c:showBubbleSize val="0"/>
        </c:dLbls>
        <c:gapWidth val="219"/>
        <c:overlap val="-27"/>
        <c:axId val="452709664"/>
        <c:axId val="452711104"/>
      </c:barChart>
      <c:catAx>
        <c:axId val="452709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11104"/>
        <c:crosses val="autoZero"/>
        <c:auto val="1"/>
        <c:lblAlgn val="ctr"/>
        <c:lblOffset val="100"/>
        <c:noMultiLvlLbl val="0"/>
      </c:catAx>
      <c:valAx>
        <c:axId val="452711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09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p>
          <a:p>
            <a:pPr>
              <a:defRPr/>
            </a:pP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4</c:v>
                </c:pt>
                <c:pt idx="3">
                  <c:v>1</c:v>
                </c:pt>
                <c:pt idx="4">
                  <c:v>1</c:v>
                </c:pt>
              </c:numCache>
            </c:numRef>
          </c:val>
          <c:smooth val="0"/>
          <c:extLst>
            <c:ext xmlns:c16="http://schemas.microsoft.com/office/drawing/2014/chart" uri="{C3380CC4-5D6E-409C-BE32-E72D297353CC}">
              <c16:uniqueId val="{00000000-091C-4D01-9560-61C3D3A7AB64}"/>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3</c:v>
                </c:pt>
                <c:pt idx="1">
                  <c:v>1</c:v>
                </c:pt>
                <c:pt idx="2">
                  <c:v>2</c:v>
                </c:pt>
                <c:pt idx="3">
                  <c:v>1</c:v>
                </c:pt>
              </c:numCache>
            </c:numRef>
          </c:val>
          <c:smooth val="0"/>
          <c:extLst>
            <c:ext xmlns:c16="http://schemas.microsoft.com/office/drawing/2014/chart" uri="{C3380CC4-5D6E-409C-BE32-E72D297353CC}">
              <c16:uniqueId val="{00000001-091C-4D01-9560-61C3D3A7AB64}"/>
            </c:ext>
          </c:extLst>
        </c:ser>
        <c:dLbls>
          <c:showLegendKey val="0"/>
          <c:showVal val="0"/>
          <c:showCatName val="0"/>
          <c:showSerName val="0"/>
          <c:showPercent val="0"/>
          <c:showBubbleSize val="0"/>
        </c:dLbls>
        <c:smooth val="0"/>
        <c:axId val="549005824"/>
        <c:axId val="549006304"/>
      </c:lineChart>
      <c:catAx>
        <c:axId val="549005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layout>
            <c:manualLayout>
              <c:xMode val="edge"/>
              <c:yMode val="edge"/>
              <c:x val="0.35853346456692919"/>
              <c:y val="0.744492927967337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06304"/>
        <c:crosses val="autoZero"/>
        <c:auto val="1"/>
        <c:lblAlgn val="ctr"/>
        <c:lblOffset val="100"/>
        <c:noMultiLvlLbl val="0"/>
      </c:catAx>
      <c:valAx>
        <c:axId val="54900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0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a:p>
            <a:pPr>
              <a:defRPr/>
            </a:pPr>
            <a:endParaRPr lang="en-US"/>
          </a:p>
        </c:rich>
      </c:tx>
      <c:layout>
        <c:manualLayout>
          <c:xMode val="edge"/>
          <c:yMode val="edge"/>
          <c:x val="0.3165137795275590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6</c:v>
                </c:pt>
              </c:numCache>
            </c:numRef>
          </c:val>
          <c:smooth val="0"/>
          <c:extLst>
            <c:ext xmlns:c16="http://schemas.microsoft.com/office/drawing/2014/chart" uri="{C3380CC4-5D6E-409C-BE32-E72D297353CC}">
              <c16:uniqueId val="{00000000-1C94-4CB3-9248-F95B6DA9362D}"/>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4</c:v>
                </c:pt>
                <c:pt idx="1">
                  <c:v>3</c:v>
                </c:pt>
              </c:numCache>
            </c:numRef>
          </c:val>
          <c:smooth val="0"/>
          <c:extLst>
            <c:ext xmlns:c16="http://schemas.microsoft.com/office/drawing/2014/chart" uri="{C3380CC4-5D6E-409C-BE32-E72D297353CC}">
              <c16:uniqueId val="{00000001-1C94-4CB3-9248-F95B6DA9362D}"/>
            </c:ext>
          </c:extLst>
        </c:ser>
        <c:dLbls>
          <c:showLegendKey val="0"/>
          <c:showVal val="0"/>
          <c:showCatName val="0"/>
          <c:showSerName val="0"/>
          <c:showPercent val="0"/>
          <c:showBubbleSize val="0"/>
        </c:dLbls>
        <c:marker val="1"/>
        <c:smooth val="0"/>
        <c:axId val="545929504"/>
        <c:axId val="545943904"/>
      </c:lineChart>
      <c:catAx>
        <c:axId val="545929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943904"/>
        <c:crosses val="autoZero"/>
        <c:auto val="1"/>
        <c:lblAlgn val="ctr"/>
        <c:lblOffset val="100"/>
        <c:noMultiLvlLbl val="0"/>
      </c:catAx>
      <c:valAx>
        <c:axId val="54594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92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37056</xdr:colOff>
      <xdr:row>18</xdr:row>
      <xdr:rowOff>57308</xdr:rowOff>
    </xdr:from>
    <xdr:to>
      <xdr:col>14</xdr:col>
      <xdr:colOff>574110</xdr:colOff>
      <xdr:row>33</xdr:row>
      <xdr:rowOff>57307</xdr:rowOff>
    </xdr:to>
    <xdr:graphicFrame macro="">
      <xdr:nvGraphicFramePr>
        <xdr:cNvPr id="3" name="Chart 2">
          <a:extLst>
            <a:ext uri="{FF2B5EF4-FFF2-40B4-BE49-F238E27FC236}">
              <a16:creationId xmlns:a16="http://schemas.microsoft.com/office/drawing/2014/main" id="{5FB1CDFC-B236-4A7C-9A1D-ADADA77ED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125262</xdr:colOff>
      <xdr:row>4</xdr:row>
      <xdr:rowOff>31314</xdr:rowOff>
    </xdr:from>
    <xdr:to>
      <xdr:col>14</xdr:col>
      <xdr:colOff>584549</xdr:colOff>
      <xdr:row>17</xdr:row>
      <xdr:rowOff>177452</xdr:rowOff>
    </xdr:to>
    <xdr:graphicFrame macro="">
      <xdr:nvGraphicFramePr>
        <xdr:cNvPr id="4" name="Chart 3">
          <a:extLst>
            <a:ext uri="{FF2B5EF4-FFF2-40B4-BE49-F238E27FC236}">
              <a16:creationId xmlns:a16="http://schemas.microsoft.com/office/drawing/2014/main" id="{7E70B835-4706-4CFF-91C0-455CFFD73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52191</xdr:colOff>
      <xdr:row>4</xdr:row>
      <xdr:rowOff>31314</xdr:rowOff>
    </xdr:from>
    <xdr:to>
      <xdr:col>9</xdr:col>
      <xdr:colOff>93944</xdr:colOff>
      <xdr:row>17</xdr:row>
      <xdr:rowOff>167014</xdr:rowOff>
    </xdr:to>
    <xdr:graphicFrame macro="">
      <xdr:nvGraphicFramePr>
        <xdr:cNvPr id="5" name="Chart 4">
          <a:extLst>
            <a:ext uri="{FF2B5EF4-FFF2-40B4-BE49-F238E27FC236}">
              <a16:creationId xmlns:a16="http://schemas.microsoft.com/office/drawing/2014/main" id="{AEF36851-B0E5-4D2E-9185-F9FC6D060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10438</xdr:colOff>
      <xdr:row>4</xdr:row>
      <xdr:rowOff>59709</xdr:rowOff>
    </xdr:from>
    <xdr:to>
      <xdr:col>3</xdr:col>
      <xdr:colOff>10438</xdr:colOff>
      <xdr:row>8</xdr:row>
      <xdr:rowOff>167016</xdr:rowOff>
    </xdr:to>
    <mc:AlternateContent xmlns:mc="http://schemas.openxmlformats.org/markup-compatibility/2006" xmlns:a14="http://schemas.microsoft.com/office/drawing/2010/main">
      <mc:Choice Requires="a14">
        <xdr:graphicFrame macro="">
          <xdr:nvGraphicFramePr>
            <xdr:cNvPr id="2" name="Marital status">
              <a:extLst>
                <a:ext uri="{FF2B5EF4-FFF2-40B4-BE49-F238E27FC236}">
                  <a16:creationId xmlns:a16="http://schemas.microsoft.com/office/drawing/2014/main" id="{6C8E45AD-1672-8CB9-8A14-D513931615C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438" y="811271"/>
              <a:ext cx="1816274" cy="858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76827</xdr:rowOff>
    </xdr:from>
    <xdr:to>
      <xdr:col>3</xdr:col>
      <xdr:colOff>0</xdr:colOff>
      <xdr:row>24</xdr:row>
      <xdr:rowOff>41753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347CFA9-D731-4E1E-ADBE-DBE55B231FD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895183"/>
              <a:ext cx="1816274" cy="1655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19207</xdr:colOff>
      <xdr:row>9</xdr:row>
      <xdr:rowOff>24530</xdr:rowOff>
    </xdr:from>
    <xdr:to>
      <xdr:col>3</xdr:col>
      <xdr:colOff>10438</xdr:colOff>
      <xdr:row>15</xdr:row>
      <xdr:rowOff>31315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2F0AF6B-8119-0EB6-5687-407C0DCB9A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207" y="1715544"/>
              <a:ext cx="1807505" cy="1134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0</xdr:row>
      <xdr:rowOff>30480</xdr:rowOff>
    </xdr:from>
    <xdr:to>
      <xdr:col>12</xdr:col>
      <xdr:colOff>327660</xdr:colOff>
      <xdr:row>15</xdr:row>
      <xdr:rowOff>30480</xdr:rowOff>
    </xdr:to>
    <xdr:graphicFrame macro="">
      <xdr:nvGraphicFramePr>
        <xdr:cNvPr id="2" name="Chart 1">
          <a:extLst>
            <a:ext uri="{FF2B5EF4-FFF2-40B4-BE49-F238E27FC236}">
              <a16:creationId xmlns:a16="http://schemas.microsoft.com/office/drawing/2014/main" id="{BF46D552-AE48-C148-423E-779A51117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17</xdr:row>
      <xdr:rowOff>15240</xdr:rowOff>
    </xdr:from>
    <xdr:to>
      <xdr:col>12</xdr:col>
      <xdr:colOff>327660</xdr:colOff>
      <xdr:row>32</xdr:row>
      <xdr:rowOff>15240</xdr:rowOff>
    </xdr:to>
    <xdr:graphicFrame macro="">
      <xdr:nvGraphicFramePr>
        <xdr:cNvPr id="3" name="Chart 2">
          <a:extLst>
            <a:ext uri="{FF2B5EF4-FFF2-40B4-BE49-F238E27FC236}">
              <a16:creationId xmlns:a16="http://schemas.microsoft.com/office/drawing/2014/main" id="{1BD0A695-56C0-405D-5B9F-2D139E93F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xdr:colOff>
      <xdr:row>33</xdr:row>
      <xdr:rowOff>167640</xdr:rowOff>
    </xdr:from>
    <xdr:to>
      <xdr:col>12</xdr:col>
      <xdr:colOff>327660</xdr:colOff>
      <xdr:row>48</xdr:row>
      <xdr:rowOff>167640</xdr:rowOff>
    </xdr:to>
    <xdr:graphicFrame macro="">
      <xdr:nvGraphicFramePr>
        <xdr:cNvPr id="4" name="Chart 3">
          <a:extLst>
            <a:ext uri="{FF2B5EF4-FFF2-40B4-BE49-F238E27FC236}">
              <a16:creationId xmlns:a16="http://schemas.microsoft.com/office/drawing/2014/main" id="{93CB017D-F1AF-65AF-FBA8-182E6ACFA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Oluwasheyi" refreshedDate="45995.355595833331" createdVersion="8" refreshedVersion="8" minRefreshableVersion="3" recordCount="1000" xr:uid="{1FE675CD-A016-418A-87A6-4A03EDC2460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37267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595A3E-E23A-48DB-BDFF-1A7A715393A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D24"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3D4DB7-BD91-4697-9212-65412C0E818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01E737-7C95-4D01-A7A8-FC70D3C322C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D39"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88CBAEB-4797-4A89-B5E8-EABFC9134979}" sourceName="Marital status">
  <pivotTables>
    <pivotTable tabId="3" name="PivotTable3"/>
    <pivotTable tabId="3" name="PivotTable4"/>
    <pivotTable tabId="3" name="PivotTable5"/>
  </pivotTables>
  <data>
    <tabular pivotCacheId="43726791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2FEFADD-8D02-4B5C-8FA5-8AB463FDC613}" sourceName="Education">
  <pivotTables>
    <pivotTable tabId="3" name="PivotTable3"/>
    <pivotTable tabId="3" name="PivotTable4"/>
    <pivotTable tabId="3" name="PivotTable5"/>
  </pivotTables>
  <data>
    <tabular pivotCacheId="437267918">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C8D150-481C-4A21-9E60-90EE0030CD91}" sourceName="Region">
  <pivotTables>
    <pivotTable tabId="3" name="PivotTable3"/>
    <pivotTable tabId="3" name="PivotTable4"/>
    <pivotTable tabId="3" name="PivotTable5"/>
  </pivotTables>
  <data>
    <tabular pivotCacheId="437267918">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9A0D6D3-886B-4D49-A400-91F96B64B02C}" cache="Slicer_Marital_status" caption="Marital status" rowHeight="234950"/>
  <slicer name="Education" xr10:uid="{C3CFCC07-3BAB-46C4-9855-34B0CBD8AE8C}" cache="Slicer_Education" caption="Education" rowHeight="234950"/>
  <slicer name="Region" xr10:uid="{3B1B524A-B9C4-4757-AF1A-5303B811AB5C}"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C6DB56-C936-4941-B812-3E2CF5FB79AB}" name="Table1" displayName="Table1" ref="A1:N367" totalsRowShown="0">
  <autoFilter ref="A1:N367" xr:uid="{FBC6DB56-C936-4941-B812-3E2CF5FB79AB}"/>
  <tableColumns count="14">
    <tableColumn id="1" xr3:uid="{ED85B22B-3FE0-4871-A7FE-6CC6E3AC96A4}" name="ID"/>
    <tableColumn id="2" xr3:uid="{31661E7D-7072-4439-A47D-9661EE335B06}" name="Marital status"/>
    <tableColumn id="3" xr3:uid="{39E102F4-DC20-418B-B894-F3E0012CCE84}" name="Gender"/>
    <tableColumn id="4" xr3:uid="{23A5042E-5770-42F0-B737-CC5D1888B714}" name="Income"/>
    <tableColumn id="5" xr3:uid="{8B425080-3FF1-4E19-A8AB-61AC09B4B6B2}" name="Children"/>
    <tableColumn id="6" xr3:uid="{DDE18DC9-CA1D-4100-8A5C-1A077918A1DA}" name="Education"/>
    <tableColumn id="7" xr3:uid="{6C7EDB2B-0B61-4028-AAE8-D199F65C13A5}" name="Occupation"/>
    <tableColumn id="8" xr3:uid="{C05865F0-D31E-42CF-B45F-7935DF16705F}" name="Home Owner"/>
    <tableColumn id="9" xr3:uid="{7FC22447-7DDA-4B11-BD67-B58E780E01CD}" name="Cars"/>
    <tableColumn id="10" xr3:uid="{96744223-3BB6-4783-A61E-5A018F20437E}" name="Commute Distance"/>
    <tableColumn id="11" xr3:uid="{597E57FB-E76E-45B6-A6FC-2521FFA50108}" name="Region"/>
    <tableColumn id="12" xr3:uid="{295C6E2D-725A-4EC2-95FA-5E5E9CE9662A}" name="Age"/>
    <tableColumn id="13" xr3:uid="{D7B55347-F8A6-466A-A9BD-4E7395756BF9}" name="Age Bracket"/>
    <tableColumn id="14" xr3:uid="{FC863F86-70EC-4DE3-9892-6EC28A94179F}"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FB3B1C-8901-4512-9C2F-2A76CC8BD507}" name="Table3" displayName="Table3" ref="A1:N79" totalsRowShown="0">
  <autoFilter ref="A1:N79" xr:uid="{D0FB3B1C-8901-4512-9C2F-2A76CC8BD507}"/>
  <tableColumns count="14">
    <tableColumn id="1" xr3:uid="{A6562E2F-1396-4236-96DD-FA71432F54F5}" name="ID"/>
    <tableColumn id="2" xr3:uid="{F7E1C00F-3CAA-4C31-9AE8-70DAB60193F3}" name="Marital status"/>
    <tableColumn id="3" xr3:uid="{61AD759D-98B2-48BA-BF5B-28C0954BE672}" name="Gender"/>
    <tableColumn id="4" xr3:uid="{B97942D4-0281-42C7-A6B6-8D0F62A096BA}" name="Income"/>
    <tableColumn id="5" xr3:uid="{65483BAD-45FE-497A-AED7-5B48FBC12E22}" name="Children"/>
    <tableColumn id="6" xr3:uid="{DE7783DA-5827-4EEF-BDCE-D2A2B0A6FDA4}" name="Education"/>
    <tableColumn id="7" xr3:uid="{3A1A02C3-A5A7-4469-A990-A425A2235003}" name="Occupation"/>
    <tableColumn id="8" xr3:uid="{FBD10E00-1C32-4F2E-8FEC-5916AB62EE4E}" name="Home Owner"/>
    <tableColumn id="9" xr3:uid="{FB5A8C86-2488-4A86-9481-6934C8F3F38B}" name="Cars"/>
    <tableColumn id="10" xr3:uid="{CC051D52-478C-4CFD-8F24-D2291F835859}" name="Commute Distance"/>
    <tableColumn id="11" xr3:uid="{4F2C9715-F39E-4CEB-98C5-2F5807E0AA86}" name="Region"/>
    <tableColumn id="12" xr3:uid="{D1CCD49D-84F4-44C3-B031-2DAA269DCE7A}" name="Age"/>
    <tableColumn id="13" xr3:uid="{52D92FA4-A343-4399-80C4-F2DCE38C80BE}" name="Age Bracket"/>
    <tableColumn id="14" xr3:uid="{87FED1D1-38E3-4DA1-B804-B4D3E669D7C5}"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7" sqref="C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56E2-6598-42DC-9843-20953E7DE8D2}">
  <dimension ref="A1:N1001"/>
  <sheetViews>
    <sheetView workbookViewId="0">
      <selection activeCell="M4" sqref="M4"/>
    </sheetView>
  </sheetViews>
  <sheetFormatPr defaultColWidth="10.77734375" defaultRowHeight="14.4" x14ac:dyDescent="0.3"/>
  <cols>
    <col min="4" max="4" width="11" style="3" bestFit="1" customWidth="1"/>
  </cols>
  <sheetData>
    <row r="1" spans="1:14" x14ac:dyDescent="0.3">
      <c r="A1" t="s">
        <v>0</v>
      </c>
      <c r="B1" t="s">
        <v>43</v>
      </c>
      <c r="C1" t="s">
        <v>2</v>
      </c>
      <c r="D1" s="3" t="s">
        <v>3</v>
      </c>
      <c r="E1" t="s">
        <v>4</v>
      </c>
      <c r="F1" t="s">
        <v>5</v>
      </c>
      <c r="G1" t="s">
        <v>6</v>
      </c>
      <c r="H1" t="s">
        <v>7</v>
      </c>
      <c r="I1" t="s">
        <v>8</v>
      </c>
      <c r="J1" t="s">
        <v>9</v>
      </c>
      <c r="K1" t="s">
        <v>10</v>
      </c>
      <c r="L1" t="s">
        <v>11</v>
      </c>
      <c r="M1" t="s">
        <v>39</v>
      </c>
      <c r="N1" t="s">
        <v>12</v>
      </c>
    </row>
    <row r="2" spans="1:14" x14ac:dyDescent="0.3">
      <c r="A2">
        <v>12496</v>
      </c>
      <c r="B2" t="s">
        <v>36</v>
      </c>
      <c r="C2" t="s">
        <v>42</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42</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42</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42</v>
      </c>
      <c r="D13" s="3">
        <v>90000</v>
      </c>
      <c r="E13">
        <v>0</v>
      </c>
      <c r="F13" t="s">
        <v>13</v>
      </c>
      <c r="G13" t="s">
        <v>21</v>
      </c>
      <c r="H13" t="s">
        <v>18</v>
      </c>
      <c r="I13">
        <v>4</v>
      </c>
      <c r="J13" t="s">
        <v>50</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42</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42</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42</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42</v>
      </c>
      <c r="D23" s="3">
        <v>80000</v>
      </c>
      <c r="E23">
        <v>0</v>
      </c>
      <c r="F23" t="s">
        <v>13</v>
      </c>
      <c r="G23" t="s">
        <v>21</v>
      </c>
      <c r="H23" t="s">
        <v>15</v>
      </c>
      <c r="I23">
        <v>4</v>
      </c>
      <c r="J23" t="s">
        <v>50</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42</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42</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42</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42</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42</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42</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42</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42</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42</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42</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42</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42</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42</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42</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42</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42</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42</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42</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50</v>
      </c>
      <c r="K53" t="s">
        <v>24</v>
      </c>
      <c r="L53">
        <v>35</v>
      </c>
      <c r="M53" t="str">
        <f t="shared" si="0"/>
        <v>middle age</v>
      </c>
      <c r="N53" t="s">
        <v>18</v>
      </c>
    </row>
    <row r="54" spans="1:14" x14ac:dyDescent="0.3">
      <c r="A54">
        <v>12558</v>
      </c>
      <c r="B54" t="s">
        <v>36</v>
      </c>
      <c r="C54" t="s">
        <v>42</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42</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42</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50</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42</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42</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42</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50</v>
      </c>
      <c r="K65" t="s">
        <v>24</v>
      </c>
      <c r="L65">
        <v>41</v>
      </c>
      <c r="M65" t="str">
        <f t="shared" si="0"/>
        <v>middle age</v>
      </c>
      <c r="N65" t="s">
        <v>18</v>
      </c>
    </row>
    <row r="66" spans="1:14" x14ac:dyDescent="0.3">
      <c r="A66">
        <v>14927</v>
      </c>
      <c r="B66" t="s">
        <v>36</v>
      </c>
      <c r="C66" t="s">
        <v>42</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42</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42</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42</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50</v>
      </c>
      <c r="K72" t="s">
        <v>24</v>
      </c>
      <c r="L72">
        <v>36</v>
      </c>
      <c r="M72" t="str">
        <f t="shared" si="1"/>
        <v>middle age</v>
      </c>
      <c r="N72" t="s">
        <v>15</v>
      </c>
    </row>
    <row r="73" spans="1:14" x14ac:dyDescent="0.3">
      <c r="A73">
        <v>16200</v>
      </c>
      <c r="B73" t="s">
        <v>37</v>
      </c>
      <c r="C73" t="s">
        <v>42</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42</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42</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42</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42</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42</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50</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42</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42</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42</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42</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42</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42</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42</v>
      </c>
      <c r="D97" s="3">
        <v>90000</v>
      </c>
      <c r="E97">
        <v>5</v>
      </c>
      <c r="F97" t="s">
        <v>19</v>
      </c>
      <c r="G97" t="s">
        <v>21</v>
      </c>
      <c r="H97" t="s">
        <v>15</v>
      </c>
      <c r="I97">
        <v>2</v>
      </c>
      <c r="J97" t="s">
        <v>50</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42</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42</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42</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42</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42</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42</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42</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42</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42</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42</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42</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42</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42</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42</v>
      </c>
      <c r="D124" s="3">
        <v>80000</v>
      </c>
      <c r="E124">
        <v>0</v>
      </c>
      <c r="F124" t="s">
        <v>13</v>
      </c>
      <c r="G124" t="s">
        <v>21</v>
      </c>
      <c r="H124" t="s">
        <v>18</v>
      </c>
      <c r="I124">
        <v>3</v>
      </c>
      <c r="J124" t="s">
        <v>50</v>
      </c>
      <c r="K124" t="s">
        <v>24</v>
      </c>
      <c r="L124">
        <v>31</v>
      </c>
      <c r="M124" t="str">
        <f t="shared" si="1"/>
        <v>middle age</v>
      </c>
      <c r="N124" t="s">
        <v>18</v>
      </c>
    </row>
    <row r="125" spans="1:14" x14ac:dyDescent="0.3">
      <c r="A125">
        <v>23627</v>
      </c>
      <c r="B125" t="s">
        <v>37</v>
      </c>
      <c r="C125" t="s">
        <v>42</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42</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42</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42</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42</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42</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42</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42</v>
      </c>
      <c r="D145" s="3">
        <v>80000</v>
      </c>
      <c r="E145">
        <v>0</v>
      </c>
      <c r="F145" t="s">
        <v>13</v>
      </c>
      <c r="G145" t="s">
        <v>21</v>
      </c>
      <c r="H145" t="s">
        <v>15</v>
      </c>
      <c r="I145">
        <v>3</v>
      </c>
      <c r="J145" t="s">
        <v>50</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42</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42</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42</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42</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42</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42</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42</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42</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42</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42</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42</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50</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42</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42</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42</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42</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42</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42</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50</v>
      </c>
      <c r="K180" t="s">
        <v>17</v>
      </c>
      <c r="L180">
        <v>55</v>
      </c>
      <c r="M180" t="str">
        <f t="shared" si="2"/>
        <v>middle age</v>
      </c>
      <c r="N180" t="s">
        <v>15</v>
      </c>
    </row>
    <row r="181" spans="1:14" x14ac:dyDescent="0.3">
      <c r="A181">
        <v>12212</v>
      </c>
      <c r="B181" t="s">
        <v>36</v>
      </c>
      <c r="C181" t="s">
        <v>42</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42</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42</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42</v>
      </c>
      <c r="D186" s="3">
        <v>130000</v>
      </c>
      <c r="E186">
        <v>4</v>
      </c>
      <c r="F186" t="s">
        <v>27</v>
      </c>
      <c r="G186" t="s">
        <v>28</v>
      </c>
      <c r="H186" t="s">
        <v>18</v>
      </c>
      <c r="I186">
        <v>4</v>
      </c>
      <c r="J186" t="s">
        <v>50</v>
      </c>
      <c r="K186" t="s">
        <v>17</v>
      </c>
      <c r="L186">
        <v>58</v>
      </c>
      <c r="M186" t="str">
        <f t="shared" si="2"/>
        <v>old</v>
      </c>
      <c r="N186" t="s">
        <v>18</v>
      </c>
    </row>
    <row r="187" spans="1:14" x14ac:dyDescent="0.3">
      <c r="A187">
        <v>15799</v>
      </c>
      <c r="B187" t="s">
        <v>36</v>
      </c>
      <c r="C187" t="s">
        <v>42</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42</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50</v>
      </c>
      <c r="K189" t="s">
        <v>17</v>
      </c>
      <c r="L189">
        <v>59</v>
      </c>
      <c r="M189" t="str">
        <f t="shared" si="2"/>
        <v>old</v>
      </c>
      <c r="N189" t="s">
        <v>18</v>
      </c>
    </row>
    <row r="190" spans="1:14" x14ac:dyDescent="0.3">
      <c r="A190">
        <v>20606</v>
      </c>
      <c r="B190" t="s">
        <v>36</v>
      </c>
      <c r="C190" t="s">
        <v>42</v>
      </c>
      <c r="D190" s="3">
        <v>70000</v>
      </c>
      <c r="E190">
        <v>0</v>
      </c>
      <c r="F190" t="s">
        <v>13</v>
      </c>
      <c r="G190" t="s">
        <v>21</v>
      </c>
      <c r="H190" t="s">
        <v>15</v>
      </c>
      <c r="I190">
        <v>4</v>
      </c>
      <c r="J190" t="s">
        <v>50</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42</v>
      </c>
      <c r="D194" s="3">
        <v>80000</v>
      </c>
      <c r="E194">
        <v>5</v>
      </c>
      <c r="F194" t="s">
        <v>13</v>
      </c>
      <c r="G194" t="s">
        <v>28</v>
      </c>
      <c r="H194" t="s">
        <v>15</v>
      </c>
      <c r="I194">
        <v>2</v>
      </c>
      <c r="J194" t="s">
        <v>50</v>
      </c>
      <c r="K194" t="s">
        <v>17</v>
      </c>
      <c r="L194">
        <v>62</v>
      </c>
      <c r="M194" t="str">
        <f t="shared" si="2"/>
        <v>old</v>
      </c>
      <c r="N194" t="s">
        <v>18</v>
      </c>
    </row>
    <row r="195" spans="1:14" x14ac:dyDescent="0.3">
      <c r="A195">
        <v>26032</v>
      </c>
      <c r="B195" t="s">
        <v>36</v>
      </c>
      <c r="C195" t="s">
        <v>42</v>
      </c>
      <c r="D195" s="3">
        <v>70000</v>
      </c>
      <c r="E195">
        <v>5</v>
      </c>
      <c r="F195" t="s">
        <v>13</v>
      </c>
      <c r="G195" t="s">
        <v>21</v>
      </c>
      <c r="H195" t="s">
        <v>15</v>
      </c>
      <c r="I195">
        <v>4</v>
      </c>
      <c r="J195" t="s">
        <v>50</v>
      </c>
      <c r="K195" t="s">
        <v>24</v>
      </c>
      <c r="L195">
        <v>41</v>
      </c>
      <c r="M195" t="str">
        <f t="shared" ref="M195:M258" si="3">IF(L195&gt;55,"old",IF(L195&gt;=31,"middle age",IF(L195&lt;31,"Adolescent","invalid")))</f>
        <v>middle age</v>
      </c>
      <c r="N195" t="s">
        <v>18</v>
      </c>
    </row>
    <row r="196" spans="1:14" x14ac:dyDescent="0.3">
      <c r="A196">
        <v>17843</v>
      </c>
      <c r="B196" t="s">
        <v>37</v>
      </c>
      <c r="C196" t="s">
        <v>42</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42</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42</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50</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42</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42</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50</v>
      </c>
      <c r="K208" t="s">
        <v>17</v>
      </c>
      <c r="L208">
        <v>62</v>
      </c>
      <c r="M208" t="str">
        <f t="shared" si="3"/>
        <v>old</v>
      </c>
      <c r="N208" t="s">
        <v>18</v>
      </c>
    </row>
    <row r="209" spans="1:14" x14ac:dyDescent="0.3">
      <c r="A209">
        <v>28729</v>
      </c>
      <c r="B209" t="s">
        <v>37</v>
      </c>
      <c r="C209" t="s">
        <v>42</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42</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42</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42</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42</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42</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50</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42</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42</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42</v>
      </c>
      <c r="D225" s="3">
        <v>70000</v>
      </c>
      <c r="E225">
        <v>5</v>
      </c>
      <c r="F225" t="s">
        <v>13</v>
      </c>
      <c r="G225" t="s">
        <v>21</v>
      </c>
      <c r="H225" t="s">
        <v>15</v>
      </c>
      <c r="I225">
        <v>4</v>
      </c>
      <c r="J225" t="s">
        <v>50</v>
      </c>
      <c r="K225" t="s">
        <v>24</v>
      </c>
      <c r="L225">
        <v>39</v>
      </c>
      <c r="M225" t="str">
        <f t="shared" si="3"/>
        <v>middle age</v>
      </c>
      <c r="N225" t="s">
        <v>18</v>
      </c>
    </row>
    <row r="226" spans="1:14" x14ac:dyDescent="0.3">
      <c r="A226">
        <v>19650</v>
      </c>
      <c r="B226" t="s">
        <v>36</v>
      </c>
      <c r="C226" t="s">
        <v>42</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42</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42</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50</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50</v>
      </c>
      <c r="K232" t="s">
        <v>17</v>
      </c>
      <c r="L232">
        <v>56</v>
      </c>
      <c r="M232" t="str">
        <f t="shared" si="3"/>
        <v>old</v>
      </c>
      <c r="N232" t="s">
        <v>18</v>
      </c>
    </row>
    <row r="233" spans="1:14" x14ac:dyDescent="0.3">
      <c r="A233">
        <v>14777</v>
      </c>
      <c r="B233" t="s">
        <v>36</v>
      </c>
      <c r="C233" t="s">
        <v>42</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42</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50</v>
      </c>
      <c r="K236" t="s">
        <v>24</v>
      </c>
      <c r="L236">
        <v>35</v>
      </c>
      <c r="M236" t="str">
        <f t="shared" si="3"/>
        <v>middle age</v>
      </c>
      <c r="N236" t="s">
        <v>15</v>
      </c>
    </row>
    <row r="237" spans="1:14" x14ac:dyDescent="0.3">
      <c r="A237">
        <v>11340</v>
      </c>
      <c r="B237" t="s">
        <v>36</v>
      </c>
      <c r="C237" t="s">
        <v>42</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42</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42</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42</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42</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42</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42</v>
      </c>
      <c r="D246" s="3">
        <v>120000</v>
      </c>
      <c r="E246">
        <v>3</v>
      </c>
      <c r="F246" t="s">
        <v>13</v>
      </c>
      <c r="G246" t="s">
        <v>28</v>
      </c>
      <c r="H246" t="s">
        <v>18</v>
      </c>
      <c r="I246">
        <v>2</v>
      </c>
      <c r="J246" t="s">
        <v>50</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42</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42</v>
      </c>
      <c r="D249" s="3">
        <v>100000</v>
      </c>
      <c r="E249">
        <v>0</v>
      </c>
      <c r="F249" t="s">
        <v>27</v>
      </c>
      <c r="G249" t="s">
        <v>28</v>
      </c>
      <c r="H249" t="s">
        <v>15</v>
      </c>
      <c r="I249">
        <v>4</v>
      </c>
      <c r="J249" t="s">
        <v>50</v>
      </c>
      <c r="K249" t="s">
        <v>24</v>
      </c>
      <c r="L249">
        <v>34</v>
      </c>
      <c r="M249" t="str">
        <f t="shared" si="3"/>
        <v>middle age</v>
      </c>
      <c r="N249" t="s">
        <v>15</v>
      </c>
    </row>
    <row r="250" spans="1:14" x14ac:dyDescent="0.3">
      <c r="A250">
        <v>13981</v>
      </c>
      <c r="B250" t="s">
        <v>36</v>
      </c>
      <c r="C250" t="s">
        <v>42</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50</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42</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42</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42</v>
      </c>
      <c r="D260" s="3">
        <v>100000</v>
      </c>
      <c r="E260">
        <v>3</v>
      </c>
      <c r="F260" t="s">
        <v>19</v>
      </c>
      <c r="G260" t="s">
        <v>28</v>
      </c>
      <c r="H260" t="s">
        <v>15</v>
      </c>
      <c r="I260">
        <v>4</v>
      </c>
      <c r="J260" t="s">
        <v>50</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42</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42</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42</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42</v>
      </c>
      <c r="D265" s="3">
        <v>70000</v>
      </c>
      <c r="E265">
        <v>5</v>
      </c>
      <c r="F265" t="s">
        <v>13</v>
      </c>
      <c r="G265" t="s">
        <v>21</v>
      </c>
      <c r="H265" t="s">
        <v>15</v>
      </c>
      <c r="I265">
        <v>3</v>
      </c>
      <c r="J265" t="s">
        <v>50</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42</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42</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42</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42</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42</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42</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42</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42</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42</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42</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50</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42</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42</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42</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42</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42</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42</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42</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42</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42</v>
      </c>
      <c r="D297" s="3">
        <v>110000</v>
      </c>
      <c r="E297">
        <v>0</v>
      </c>
      <c r="F297" t="s">
        <v>19</v>
      </c>
      <c r="G297" t="s">
        <v>28</v>
      </c>
      <c r="H297" t="s">
        <v>15</v>
      </c>
      <c r="I297">
        <v>3</v>
      </c>
      <c r="J297" t="s">
        <v>50</v>
      </c>
      <c r="K297" t="s">
        <v>24</v>
      </c>
      <c r="L297">
        <v>32</v>
      </c>
      <c r="M297" t="str">
        <f t="shared" si="4"/>
        <v>middle age</v>
      </c>
      <c r="N297" t="s">
        <v>15</v>
      </c>
    </row>
    <row r="298" spans="1:14" x14ac:dyDescent="0.3">
      <c r="A298">
        <v>26663</v>
      </c>
      <c r="B298" t="s">
        <v>37</v>
      </c>
      <c r="C298" t="s">
        <v>42</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42</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42</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42</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42</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42</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42</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50</v>
      </c>
      <c r="K320" t="s">
        <v>17</v>
      </c>
      <c r="L320">
        <v>54</v>
      </c>
      <c r="M320" t="str">
        <f t="shared" si="4"/>
        <v>middle age</v>
      </c>
      <c r="N320" t="s">
        <v>18</v>
      </c>
    </row>
    <row r="321" spans="1:14" x14ac:dyDescent="0.3">
      <c r="A321">
        <v>11386</v>
      </c>
      <c r="B321" t="s">
        <v>36</v>
      </c>
      <c r="C321" t="s">
        <v>42</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42</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42</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42</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42</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42</v>
      </c>
      <c r="D331" s="3">
        <v>90000</v>
      </c>
      <c r="E331">
        <v>5</v>
      </c>
      <c r="F331" t="s">
        <v>29</v>
      </c>
      <c r="G331" t="s">
        <v>14</v>
      </c>
      <c r="H331" t="s">
        <v>15</v>
      </c>
      <c r="I331">
        <v>2</v>
      </c>
      <c r="J331" t="s">
        <v>50</v>
      </c>
      <c r="K331" t="s">
        <v>17</v>
      </c>
      <c r="L331">
        <v>59</v>
      </c>
      <c r="M331" t="str">
        <f t="shared" si="5"/>
        <v>old</v>
      </c>
      <c r="N331" t="s">
        <v>18</v>
      </c>
    </row>
    <row r="332" spans="1:14" x14ac:dyDescent="0.3">
      <c r="A332">
        <v>24898</v>
      </c>
      <c r="B332" t="s">
        <v>37</v>
      </c>
      <c r="C332" t="s">
        <v>42</v>
      </c>
      <c r="D332" s="3">
        <v>80000</v>
      </c>
      <c r="E332">
        <v>0</v>
      </c>
      <c r="F332" t="s">
        <v>13</v>
      </c>
      <c r="G332" t="s">
        <v>21</v>
      </c>
      <c r="H332" t="s">
        <v>15</v>
      </c>
      <c r="I332">
        <v>3</v>
      </c>
      <c r="J332" t="s">
        <v>50</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42</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42</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42</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42</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42</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42</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42</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42</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50</v>
      </c>
      <c r="K357" t="s">
        <v>24</v>
      </c>
      <c r="L357">
        <v>32</v>
      </c>
      <c r="M357" t="str">
        <f t="shared" si="5"/>
        <v>middle age</v>
      </c>
      <c r="N357" t="s">
        <v>18</v>
      </c>
    </row>
    <row r="358" spans="1:14" x14ac:dyDescent="0.3">
      <c r="A358">
        <v>23608</v>
      </c>
      <c r="B358" t="s">
        <v>36</v>
      </c>
      <c r="C358" t="s">
        <v>42</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42</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50</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42</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42</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42</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42</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42</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42</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42</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42</v>
      </c>
      <c r="D372" s="3">
        <v>100000</v>
      </c>
      <c r="E372">
        <v>4</v>
      </c>
      <c r="F372" t="s">
        <v>13</v>
      </c>
      <c r="G372" t="s">
        <v>21</v>
      </c>
      <c r="H372" t="s">
        <v>15</v>
      </c>
      <c r="I372">
        <v>1</v>
      </c>
      <c r="J372" t="s">
        <v>50</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42</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42</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50</v>
      </c>
      <c r="K382" t="s">
        <v>24</v>
      </c>
      <c r="L382">
        <v>30</v>
      </c>
      <c r="M382" t="str">
        <f t="shared" si="5"/>
        <v>Adolescent</v>
      </c>
      <c r="N382" t="s">
        <v>15</v>
      </c>
    </row>
    <row r="383" spans="1:14" x14ac:dyDescent="0.3">
      <c r="A383">
        <v>22974</v>
      </c>
      <c r="B383" t="s">
        <v>36</v>
      </c>
      <c r="C383" t="s">
        <v>42</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50</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42</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42</v>
      </c>
      <c r="D388" s="3">
        <v>120000</v>
      </c>
      <c r="E388">
        <v>0</v>
      </c>
      <c r="F388" t="s">
        <v>29</v>
      </c>
      <c r="G388" t="s">
        <v>21</v>
      </c>
      <c r="H388" t="s">
        <v>15</v>
      </c>
      <c r="I388">
        <v>4</v>
      </c>
      <c r="J388" t="s">
        <v>50</v>
      </c>
      <c r="K388" t="s">
        <v>24</v>
      </c>
      <c r="L388">
        <v>34</v>
      </c>
      <c r="M388" t="str">
        <f t="shared" si="6"/>
        <v>middle age</v>
      </c>
      <c r="N388" t="s">
        <v>15</v>
      </c>
    </row>
    <row r="389" spans="1:14" x14ac:dyDescent="0.3">
      <c r="A389">
        <v>13690</v>
      </c>
      <c r="B389" t="s">
        <v>37</v>
      </c>
      <c r="C389" t="s">
        <v>42</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42</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42</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42</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42</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42</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42</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42</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42</v>
      </c>
      <c r="D402" s="3">
        <v>110000</v>
      </c>
      <c r="E402">
        <v>3</v>
      </c>
      <c r="F402" t="s">
        <v>13</v>
      </c>
      <c r="G402" t="s">
        <v>28</v>
      </c>
      <c r="H402" t="s">
        <v>15</v>
      </c>
      <c r="I402">
        <v>4</v>
      </c>
      <c r="J402" t="s">
        <v>50</v>
      </c>
      <c r="K402" t="s">
        <v>17</v>
      </c>
      <c r="L402">
        <v>53</v>
      </c>
      <c r="M402" t="str">
        <f t="shared" si="6"/>
        <v>middle age</v>
      </c>
      <c r="N402" t="s">
        <v>18</v>
      </c>
    </row>
    <row r="403" spans="1:14" x14ac:dyDescent="0.3">
      <c r="A403">
        <v>11555</v>
      </c>
      <c r="B403" t="s">
        <v>36</v>
      </c>
      <c r="C403" t="s">
        <v>42</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42</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42</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42</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42</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42</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42</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42</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42</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42</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42</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42</v>
      </c>
      <c r="D422" s="3">
        <v>100000</v>
      </c>
      <c r="E422">
        <v>2</v>
      </c>
      <c r="F422" t="s">
        <v>13</v>
      </c>
      <c r="G422" t="s">
        <v>28</v>
      </c>
      <c r="H422" t="s">
        <v>15</v>
      </c>
      <c r="I422">
        <v>4</v>
      </c>
      <c r="J422" t="s">
        <v>50</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50</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42</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42</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42</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42</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42</v>
      </c>
      <c r="D434" s="3">
        <v>110000</v>
      </c>
      <c r="E434">
        <v>0</v>
      </c>
      <c r="F434" t="s">
        <v>27</v>
      </c>
      <c r="G434" t="s">
        <v>28</v>
      </c>
      <c r="H434" t="s">
        <v>15</v>
      </c>
      <c r="I434">
        <v>3</v>
      </c>
      <c r="J434" t="s">
        <v>50</v>
      </c>
      <c r="K434" t="s">
        <v>24</v>
      </c>
      <c r="L434">
        <v>34</v>
      </c>
      <c r="M434" t="str">
        <f t="shared" si="6"/>
        <v>middle age</v>
      </c>
      <c r="N434" t="s">
        <v>15</v>
      </c>
    </row>
    <row r="435" spans="1:14" x14ac:dyDescent="0.3">
      <c r="A435">
        <v>27814</v>
      </c>
      <c r="B435" t="s">
        <v>37</v>
      </c>
      <c r="C435" t="s">
        <v>42</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42</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42</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42</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42</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42</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50</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42</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42</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42</v>
      </c>
      <c r="D448" s="3">
        <v>130000</v>
      </c>
      <c r="E448">
        <v>0</v>
      </c>
      <c r="F448" t="s">
        <v>31</v>
      </c>
      <c r="G448" t="s">
        <v>28</v>
      </c>
      <c r="H448" t="s">
        <v>15</v>
      </c>
      <c r="I448">
        <v>1</v>
      </c>
      <c r="J448" t="s">
        <v>50</v>
      </c>
      <c r="K448" t="s">
        <v>24</v>
      </c>
      <c r="L448">
        <v>48</v>
      </c>
      <c r="M448" t="str">
        <f t="shared" si="6"/>
        <v>middle age</v>
      </c>
      <c r="N448" t="s">
        <v>18</v>
      </c>
    </row>
    <row r="449" spans="1:14" x14ac:dyDescent="0.3">
      <c r="A449">
        <v>20711</v>
      </c>
      <c r="B449" t="s">
        <v>36</v>
      </c>
      <c r="C449" t="s">
        <v>42</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42</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42</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42</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42</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42</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42</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42</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42</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50</v>
      </c>
      <c r="K460" t="s">
        <v>24</v>
      </c>
      <c r="L460">
        <v>32</v>
      </c>
      <c r="M460" t="str">
        <f t="shared" si="7"/>
        <v>middle age</v>
      </c>
      <c r="N460" t="s">
        <v>15</v>
      </c>
    </row>
    <row r="461" spans="1:14" x14ac:dyDescent="0.3">
      <c r="A461">
        <v>21554</v>
      </c>
      <c r="B461" t="s">
        <v>37</v>
      </c>
      <c r="C461" t="s">
        <v>42</v>
      </c>
      <c r="D461" s="3">
        <v>80000</v>
      </c>
      <c r="E461">
        <v>0</v>
      </c>
      <c r="F461" t="s">
        <v>13</v>
      </c>
      <c r="G461" t="s">
        <v>21</v>
      </c>
      <c r="H461" t="s">
        <v>18</v>
      </c>
      <c r="I461">
        <v>3</v>
      </c>
      <c r="J461" t="s">
        <v>50</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42</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42</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42</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42</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42</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42</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42</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42</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42</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42</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42</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42</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42</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42</v>
      </c>
      <c r="D488" s="3">
        <v>90000</v>
      </c>
      <c r="E488">
        <v>4</v>
      </c>
      <c r="F488" t="s">
        <v>29</v>
      </c>
      <c r="G488" t="s">
        <v>14</v>
      </c>
      <c r="H488" t="s">
        <v>15</v>
      </c>
      <c r="I488">
        <v>4</v>
      </c>
      <c r="J488" t="s">
        <v>50</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42</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42</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50</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50</v>
      </c>
      <c r="K497" t="s">
        <v>32</v>
      </c>
      <c r="L497">
        <v>56</v>
      </c>
      <c r="M497" t="str">
        <f t="shared" si="7"/>
        <v>old</v>
      </c>
      <c r="N497" t="s">
        <v>18</v>
      </c>
    </row>
    <row r="498" spans="1:14" x14ac:dyDescent="0.3">
      <c r="A498">
        <v>20678</v>
      </c>
      <c r="B498" t="s">
        <v>37</v>
      </c>
      <c r="C498" t="s">
        <v>42</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42</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42</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42</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42</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42</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42</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42</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42</v>
      </c>
      <c r="D515" s="3">
        <v>60000</v>
      </c>
      <c r="E515">
        <v>4</v>
      </c>
      <c r="F515" t="s">
        <v>31</v>
      </c>
      <c r="G515" t="s">
        <v>28</v>
      </c>
      <c r="H515" t="s">
        <v>15</v>
      </c>
      <c r="I515">
        <v>2</v>
      </c>
      <c r="J515" t="s">
        <v>50</v>
      </c>
      <c r="K515" t="s">
        <v>32</v>
      </c>
      <c r="L515">
        <v>61</v>
      </c>
      <c r="M515" t="str">
        <f t="shared" ref="M515:M559" si="8">IF(L515&gt;55,"old",IF(L515&gt;=31,"middle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42</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42</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42</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50</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42</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50</v>
      </c>
      <c r="K527" t="s">
        <v>32</v>
      </c>
      <c r="L527">
        <v>59</v>
      </c>
      <c r="M527" t="str">
        <f t="shared" si="8"/>
        <v>old</v>
      </c>
      <c r="N527" t="s">
        <v>15</v>
      </c>
    </row>
    <row r="528" spans="1:14" x14ac:dyDescent="0.3">
      <c r="A528">
        <v>15382</v>
      </c>
      <c r="B528" t="s">
        <v>36</v>
      </c>
      <c r="C528" t="s">
        <v>42</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42</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50</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42</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50</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50</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50</v>
      </c>
      <c r="K537" t="s">
        <v>32</v>
      </c>
      <c r="L537">
        <v>41</v>
      </c>
      <c r="M537" t="str">
        <f t="shared" si="8"/>
        <v>middle age</v>
      </c>
      <c r="N537" t="s">
        <v>18</v>
      </c>
    </row>
    <row r="538" spans="1:14" x14ac:dyDescent="0.3">
      <c r="A538">
        <v>13907</v>
      </c>
      <c r="B538" t="s">
        <v>37</v>
      </c>
      <c r="C538" t="s">
        <v>42</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42</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42</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42</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42</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42</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42</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42</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42</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42</v>
      </c>
      <c r="D553" s="3">
        <v>50000</v>
      </c>
      <c r="E553">
        <v>4</v>
      </c>
      <c r="F553" t="s">
        <v>13</v>
      </c>
      <c r="G553" t="s">
        <v>28</v>
      </c>
      <c r="H553" t="s">
        <v>15</v>
      </c>
      <c r="I553">
        <v>2</v>
      </c>
      <c r="J553" t="s">
        <v>50</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50</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42</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42</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42</v>
      </c>
      <c r="D560" s="3">
        <v>50000</v>
      </c>
      <c r="E560">
        <v>3</v>
      </c>
      <c r="F560" t="s">
        <v>13</v>
      </c>
      <c r="G560" t="s">
        <v>14</v>
      </c>
      <c r="H560" t="s">
        <v>15</v>
      </c>
      <c r="I560">
        <v>2</v>
      </c>
      <c r="J560" t="s">
        <v>16</v>
      </c>
      <c r="K560" t="s">
        <v>32</v>
      </c>
      <c r="L560">
        <v>41</v>
      </c>
      <c r="M560" t="str">
        <f t="shared" ref="M560:M578" si="9">IF(L560&gt;=55,"old",IF(L560&gt;=31,"middle age",IF(L560&lt;31,"Adolescent","invalid")))</f>
        <v>middle age</v>
      </c>
      <c r="N560" t="s">
        <v>18</v>
      </c>
    </row>
    <row r="561" spans="1:14" x14ac:dyDescent="0.3">
      <c r="A561">
        <v>15895</v>
      </c>
      <c r="B561" t="s">
        <v>37</v>
      </c>
      <c r="C561" t="s">
        <v>42</v>
      </c>
      <c r="D561" s="3">
        <v>60000</v>
      </c>
      <c r="E561">
        <v>2</v>
      </c>
      <c r="F561" t="s">
        <v>13</v>
      </c>
      <c r="G561" t="s">
        <v>28</v>
      </c>
      <c r="H561" t="s">
        <v>15</v>
      </c>
      <c r="I561">
        <v>0</v>
      </c>
      <c r="J561" t="s">
        <v>50</v>
      </c>
      <c r="K561" t="s">
        <v>32</v>
      </c>
      <c r="L561">
        <v>58</v>
      </c>
      <c r="M561" t="str">
        <f t="shared" si="9"/>
        <v>old</v>
      </c>
      <c r="N561" t="s">
        <v>18</v>
      </c>
    </row>
    <row r="562" spans="1:14" x14ac:dyDescent="0.3">
      <c r="A562">
        <v>18577</v>
      </c>
      <c r="B562" t="s">
        <v>36</v>
      </c>
      <c r="C562" t="s">
        <v>42</v>
      </c>
      <c r="D562" s="3">
        <v>60000</v>
      </c>
      <c r="E562">
        <v>0</v>
      </c>
      <c r="F562" t="s">
        <v>31</v>
      </c>
      <c r="G562" t="s">
        <v>21</v>
      </c>
      <c r="H562" t="s">
        <v>15</v>
      </c>
      <c r="I562">
        <v>0</v>
      </c>
      <c r="J562" t="s">
        <v>16</v>
      </c>
      <c r="K562" t="s">
        <v>32</v>
      </c>
      <c r="L562">
        <v>40</v>
      </c>
      <c r="M562" t="str">
        <f t="shared" si="9"/>
        <v>middle age</v>
      </c>
      <c r="N562" t="s">
        <v>18</v>
      </c>
    </row>
    <row r="563" spans="1:14" x14ac:dyDescent="0.3">
      <c r="A563">
        <v>27218</v>
      </c>
      <c r="B563" t="s">
        <v>36</v>
      </c>
      <c r="C563" t="s">
        <v>42</v>
      </c>
      <c r="D563" s="3">
        <v>20000</v>
      </c>
      <c r="E563">
        <v>2</v>
      </c>
      <c r="F563" t="s">
        <v>29</v>
      </c>
      <c r="G563" t="s">
        <v>20</v>
      </c>
      <c r="H563" t="s">
        <v>18</v>
      </c>
      <c r="I563">
        <v>0</v>
      </c>
      <c r="J563" t="s">
        <v>16</v>
      </c>
      <c r="K563" t="s">
        <v>32</v>
      </c>
      <c r="L563">
        <v>48</v>
      </c>
      <c r="M563" t="str">
        <f t="shared" si="9"/>
        <v>middle age</v>
      </c>
      <c r="N563" t="s">
        <v>18</v>
      </c>
    </row>
    <row r="564" spans="1:14" x14ac:dyDescent="0.3">
      <c r="A564">
        <v>18560</v>
      </c>
      <c r="B564" t="s">
        <v>36</v>
      </c>
      <c r="C564" t="s">
        <v>42</v>
      </c>
      <c r="D564" s="3">
        <v>70000</v>
      </c>
      <c r="E564">
        <v>2</v>
      </c>
      <c r="F564" t="s">
        <v>31</v>
      </c>
      <c r="G564" t="s">
        <v>21</v>
      </c>
      <c r="H564" t="s">
        <v>15</v>
      </c>
      <c r="I564">
        <v>0</v>
      </c>
      <c r="J564" t="s">
        <v>22</v>
      </c>
      <c r="K564" t="s">
        <v>32</v>
      </c>
      <c r="L564">
        <v>34</v>
      </c>
      <c r="M564" t="str">
        <f t="shared" si="9"/>
        <v>middle age</v>
      </c>
      <c r="N564" t="s">
        <v>15</v>
      </c>
    </row>
    <row r="565" spans="1:14" x14ac:dyDescent="0.3">
      <c r="A565">
        <v>25006</v>
      </c>
      <c r="B565" t="s">
        <v>37</v>
      </c>
      <c r="C565" t="s">
        <v>42</v>
      </c>
      <c r="D565" s="3">
        <v>30000</v>
      </c>
      <c r="E565">
        <v>0</v>
      </c>
      <c r="F565" t="s">
        <v>19</v>
      </c>
      <c r="G565" t="s">
        <v>14</v>
      </c>
      <c r="H565" t="s">
        <v>15</v>
      </c>
      <c r="I565">
        <v>1</v>
      </c>
      <c r="J565" t="s">
        <v>23</v>
      </c>
      <c r="K565" t="s">
        <v>32</v>
      </c>
      <c r="L565">
        <v>28</v>
      </c>
      <c r="M565" t="str">
        <f t="shared" si="9"/>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9"/>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9"/>
        <v>middle age</v>
      </c>
      <c r="N567" t="s">
        <v>15</v>
      </c>
    </row>
    <row r="568" spans="1:14" x14ac:dyDescent="0.3">
      <c r="A568">
        <v>18847</v>
      </c>
      <c r="B568" t="s">
        <v>36</v>
      </c>
      <c r="C568" t="s">
        <v>42</v>
      </c>
      <c r="D568" s="3">
        <v>60000</v>
      </c>
      <c r="E568">
        <v>2</v>
      </c>
      <c r="F568" t="s">
        <v>31</v>
      </c>
      <c r="G568" t="s">
        <v>28</v>
      </c>
      <c r="H568" t="s">
        <v>15</v>
      </c>
      <c r="I568">
        <v>2</v>
      </c>
      <c r="J568" t="s">
        <v>23</v>
      </c>
      <c r="K568" t="s">
        <v>32</v>
      </c>
      <c r="L568">
        <v>70</v>
      </c>
      <c r="M568" t="str">
        <f t="shared" si="9"/>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9"/>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9"/>
        <v>middle age</v>
      </c>
      <c r="N570" t="s">
        <v>15</v>
      </c>
    </row>
    <row r="571" spans="1:14" x14ac:dyDescent="0.3">
      <c r="A571">
        <v>26452</v>
      </c>
      <c r="B571" t="s">
        <v>37</v>
      </c>
      <c r="C571" t="s">
        <v>38</v>
      </c>
      <c r="D571" s="3">
        <v>50000</v>
      </c>
      <c r="E571">
        <v>3</v>
      </c>
      <c r="F571" t="s">
        <v>31</v>
      </c>
      <c r="G571" t="s">
        <v>28</v>
      </c>
      <c r="H571" t="s">
        <v>15</v>
      </c>
      <c r="I571">
        <v>2</v>
      </c>
      <c r="J571" t="s">
        <v>50</v>
      </c>
      <c r="K571" t="s">
        <v>32</v>
      </c>
      <c r="L571">
        <v>69</v>
      </c>
      <c r="M571" t="str">
        <f t="shared" si="9"/>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9"/>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9"/>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9"/>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9"/>
        <v>old</v>
      </c>
      <c r="N575" t="s">
        <v>18</v>
      </c>
    </row>
    <row r="576" spans="1:14" x14ac:dyDescent="0.3">
      <c r="A576">
        <v>21266</v>
      </c>
      <c r="B576" t="s">
        <v>37</v>
      </c>
      <c r="C576" t="s">
        <v>42</v>
      </c>
      <c r="D576" s="3">
        <v>80000</v>
      </c>
      <c r="E576">
        <v>0</v>
      </c>
      <c r="F576" t="s">
        <v>13</v>
      </c>
      <c r="G576" t="s">
        <v>28</v>
      </c>
      <c r="H576" t="s">
        <v>15</v>
      </c>
      <c r="I576">
        <v>1</v>
      </c>
      <c r="J576" t="s">
        <v>26</v>
      </c>
      <c r="K576" t="s">
        <v>32</v>
      </c>
      <c r="L576">
        <v>34</v>
      </c>
      <c r="M576" t="str">
        <f t="shared" si="9"/>
        <v>middle age</v>
      </c>
      <c r="N576" t="s">
        <v>15</v>
      </c>
    </row>
    <row r="577" spans="1:14" x14ac:dyDescent="0.3">
      <c r="A577">
        <v>13388</v>
      </c>
      <c r="B577" t="s">
        <v>37</v>
      </c>
      <c r="C577" t="s">
        <v>38</v>
      </c>
      <c r="D577" s="3">
        <v>60000</v>
      </c>
      <c r="E577">
        <v>2</v>
      </c>
      <c r="F577" t="s">
        <v>19</v>
      </c>
      <c r="G577" t="s">
        <v>21</v>
      </c>
      <c r="H577" t="s">
        <v>15</v>
      </c>
      <c r="I577">
        <v>1</v>
      </c>
      <c r="J577" t="s">
        <v>50</v>
      </c>
      <c r="K577" t="s">
        <v>32</v>
      </c>
      <c r="L577">
        <v>56</v>
      </c>
      <c r="M577" t="str">
        <f t="shared" si="9"/>
        <v>old</v>
      </c>
      <c r="N577" t="s">
        <v>18</v>
      </c>
    </row>
    <row r="578" spans="1:14" x14ac:dyDescent="0.3">
      <c r="A578">
        <v>18752</v>
      </c>
      <c r="B578" t="s">
        <v>37</v>
      </c>
      <c r="C578" t="s">
        <v>42</v>
      </c>
      <c r="D578" s="3">
        <v>40000</v>
      </c>
      <c r="E578">
        <v>0</v>
      </c>
      <c r="F578" t="s">
        <v>27</v>
      </c>
      <c r="G578" t="s">
        <v>14</v>
      </c>
      <c r="H578" t="s">
        <v>15</v>
      </c>
      <c r="I578">
        <v>1</v>
      </c>
      <c r="J578" t="s">
        <v>23</v>
      </c>
      <c r="K578" t="s">
        <v>32</v>
      </c>
      <c r="L578">
        <v>31</v>
      </c>
      <c r="M578" t="str">
        <f t="shared" si="9"/>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10">IF(L579&gt;=55,"old",IF(L579&gt;=31,"middle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10"/>
        <v>old</v>
      </c>
      <c r="N580" t="s">
        <v>18</v>
      </c>
    </row>
    <row r="581" spans="1:14" x14ac:dyDescent="0.3">
      <c r="A581">
        <v>25329</v>
      </c>
      <c r="B581" t="s">
        <v>37</v>
      </c>
      <c r="C581" t="s">
        <v>42</v>
      </c>
      <c r="D581" s="3">
        <v>40000</v>
      </c>
      <c r="E581">
        <v>3</v>
      </c>
      <c r="F581" t="s">
        <v>19</v>
      </c>
      <c r="G581" t="s">
        <v>20</v>
      </c>
      <c r="H581" t="s">
        <v>18</v>
      </c>
      <c r="I581">
        <v>2</v>
      </c>
      <c r="J581" t="s">
        <v>16</v>
      </c>
      <c r="K581" t="s">
        <v>32</v>
      </c>
      <c r="L581">
        <v>32</v>
      </c>
      <c r="M581" t="str">
        <f t="shared" si="10"/>
        <v>middle age</v>
      </c>
      <c r="N581" t="s">
        <v>18</v>
      </c>
    </row>
    <row r="582" spans="1:14" x14ac:dyDescent="0.3">
      <c r="A582">
        <v>20380</v>
      </c>
      <c r="B582" t="s">
        <v>36</v>
      </c>
      <c r="C582" t="s">
        <v>42</v>
      </c>
      <c r="D582" s="3">
        <v>60000</v>
      </c>
      <c r="E582">
        <v>3</v>
      </c>
      <c r="F582" t="s">
        <v>31</v>
      </c>
      <c r="G582" t="s">
        <v>28</v>
      </c>
      <c r="H582" t="s">
        <v>15</v>
      </c>
      <c r="I582">
        <v>2</v>
      </c>
      <c r="J582" t="s">
        <v>50</v>
      </c>
      <c r="K582" t="s">
        <v>32</v>
      </c>
      <c r="L582">
        <v>69</v>
      </c>
      <c r="M582" t="str">
        <f t="shared" si="10"/>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10"/>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10"/>
        <v>middle age</v>
      </c>
      <c r="N584" t="s">
        <v>18</v>
      </c>
    </row>
    <row r="585" spans="1:14" x14ac:dyDescent="0.3">
      <c r="A585">
        <v>24943</v>
      </c>
      <c r="B585" t="s">
        <v>36</v>
      </c>
      <c r="C585" t="s">
        <v>38</v>
      </c>
      <c r="D585" s="3">
        <v>60000</v>
      </c>
      <c r="E585">
        <v>3</v>
      </c>
      <c r="F585" t="s">
        <v>13</v>
      </c>
      <c r="G585" t="s">
        <v>28</v>
      </c>
      <c r="H585" t="s">
        <v>15</v>
      </c>
      <c r="I585">
        <v>2</v>
      </c>
      <c r="J585" t="s">
        <v>50</v>
      </c>
      <c r="K585" t="s">
        <v>32</v>
      </c>
      <c r="L585">
        <v>66</v>
      </c>
      <c r="M585" t="str">
        <f t="shared" si="10"/>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10"/>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10"/>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10"/>
        <v>middle age</v>
      </c>
      <c r="N588" t="s">
        <v>18</v>
      </c>
    </row>
    <row r="589" spans="1:14" x14ac:dyDescent="0.3">
      <c r="A589">
        <v>18935</v>
      </c>
      <c r="B589" t="s">
        <v>36</v>
      </c>
      <c r="C589" t="s">
        <v>42</v>
      </c>
      <c r="D589" s="3">
        <v>130000</v>
      </c>
      <c r="E589">
        <v>0</v>
      </c>
      <c r="F589" t="s">
        <v>31</v>
      </c>
      <c r="G589" t="s">
        <v>28</v>
      </c>
      <c r="H589" t="s">
        <v>15</v>
      </c>
      <c r="I589">
        <v>3</v>
      </c>
      <c r="J589" t="s">
        <v>26</v>
      </c>
      <c r="K589" t="s">
        <v>32</v>
      </c>
      <c r="L589">
        <v>40</v>
      </c>
      <c r="M589" t="str">
        <f t="shared" si="10"/>
        <v>middle age</v>
      </c>
      <c r="N589" t="s">
        <v>18</v>
      </c>
    </row>
    <row r="590" spans="1:14" x14ac:dyDescent="0.3">
      <c r="A590">
        <v>16871</v>
      </c>
      <c r="B590" t="s">
        <v>36</v>
      </c>
      <c r="C590" t="s">
        <v>42</v>
      </c>
      <c r="D590" s="3">
        <v>90000</v>
      </c>
      <c r="E590">
        <v>2</v>
      </c>
      <c r="F590" t="s">
        <v>27</v>
      </c>
      <c r="G590" t="s">
        <v>21</v>
      </c>
      <c r="H590" t="s">
        <v>15</v>
      </c>
      <c r="I590">
        <v>1</v>
      </c>
      <c r="J590" t="s">
        <v>50</v>
      </c>
      <c r="K590" t="s">
        <v>32</v>
      </c>
      <c r="L590">
        <v>51</v>
      </c>
      <c r="M590" t="str">
        <f t="shared" si="10"/>
        <v>middle age</v>
      </c>
      <c r="N590" t="s">
        <v>15</v>
      </c>
    </row>
    <row r="591" spans="1:14" x14ac:dyDescent="0.3">
      <c r="A591">
        <v>12100</v>
      </c>
      <c r="B591" t="s">
        <v>37</v>
      </c>
      <c r="C591" t="s">
        <v>38</v>
      </c>
      <c r="D591" s="3">
        <v>60000</v>
      </c>
      <c r="E591">
        <v>2</v>
      </c>
      <c r="F591" t="s">
        <v>13</v>
      </c>
      <c r="G591" t="s">
        <v>28</v>
      </c>
      <c r="H591" t="s">
        <v>15</v>
      </c>
      <c r="I591">
        <v>0</v>
      </c>
      <c r="J591" t="s">
        <v>50</v>
      </c>
      <c r="K591" t="s">
        <v>32</v>
      </c>
      <c r="L591">
        <v>57</v>
      </c>
      <c r="M591" t="str">
        <f t="shared" si="10"/>
        <v>old</v>
      </c>
      <c r="N591" t="s">
        <v>18</v>
      </c>
    </row>
    <row r="592" spans="1:14" x14ac:dyDescent="0.3">
      <c r="A592">
        <v>23158</v>
      </c>
      <c r="B592" t="s">
        <v>36</v>
      </c>
      <c r="C592" t="s">
        <v>42</v>
      </c>
      <c r="D592" s="3">
        <v>60000</v>
      </c>
      <c r="E592">
        <v>1</v>
      </c>
      <c r="F592" t="s">
        <v>31</v>
      </c>
      <c r="G592" t="s">
        <v>21</v>
      </c>
      <c r="H592" t="s">
        <v>18</v>
      </c>
      <c r="I592">
        <v>0</v>
      </c>
      <c r="J592" t="s">
        <v>16</v>
      </c>
      <c r="K592" t="s">
        <v>32</v>
      </c>
      <c r="L592">
        <v>35</v>
      </c>
      <c r="M592" t="str">
        <f t="shared" si="10"/>
        <v>middle age</v>
      </c>
      <c r="N592" t="s">
        <v>15</v>
      </c>
    </row>
    <row r="593" spans="1:14" x14ac:dyDescent="0.3">
      <c r="A593">
        <v>18545</v>
      </c>
      <c r="B593" t="s">
        <v>36</v>
      </c>
      <c r="C593" t="s">
        <v>38</v>
      </c>
      <c r="D593" s="3">
        <v>40000</v>
      </c>
      <c r="E593">
        <v>4</v>
      </c>
      <c r="F593" t="s">
        <v>27</v>
      </c>
      <c r="G593" t="s">
        <v>21</v>
      </c>
      <c r="H593" t="s">
        <v>18</v>
      </c>
      <c r="I593">
        <v>2</v>
      </c>
      <c r="J593" t="s">
        <v>50</v>
      </c>
      <c r="K593" t="s">
        <v>32</v>
      </c>
      <c r="L593">
        <v>61</v>
      </c>
      <c r="M593" t="str">
        <f t="shared" si="10"/>
        <v>old</v>
      </c>
      <c r="N593" t="s">
        <v>15</v>
      </c>
    </row>
    <row r="594" spans="1:14" x14ac:dyDescent="0.3">
      <c r="A594">
        <v>18391</v>
      </c>
      <c r="B594" t="s">
        <v>37</v>
      </c>
      <c r="C594" t="s">
        <v>42</v>
      </c>
      <c r="D594" s="3">
        <v>80000</v>
      </c>
      <c r="E594">
        <v>5</v>
      </c>
      <c r="F594" t="s">
        <v>19</v>
      </c>
      <c r="G594" t="s">
        <v>21</v>
      </c>
      <c r="H594" t="s">
        <v>15</v>
      </c>
      <c r="I594">
        <v>2</v>
      </c>
      <c r="J594" t="s">
        <v>23</v>
      </c>
      <c r="K594" t="s">
        <v>32</v>
      </c>
      <c r="L594">
        <v>44</v>
      </c>
      <c r="M594" t="str">
        <f t="shared" si="10"/>
        <v>middle age</v>
      </c>
      <c r="N594" t="s">
        <v>18</v>
      </c>
    </row>
    <row r="595" spans="1:14" x14ac:dyDescent="0.3">
      <c r="A595">
        <v>19812</v>
      </c>
      <c r="B595" t="s">
        <v>37</v>
      </c>
      <c r="C595" t="s">
        <v>42</v>
      </c>
      <c r="D595" s="3">
        <v>70000</v>
      </c>
      <c r="E595">
        <v>2</v>
      </c>
      <c r="F595" t="s">
        <v>19</v>
      </c>
      <c r="G595" t="s">
        <v>21</v>
      </c>
      <c r="H595" t="s">
        <v>15</v>
      </c>
      <c r="I595">
        <v>0</v>
      </c>
      <c r="J595" t="s">
        <v>23</v>
      </c>
      <c r="K595" t="s">
        <v>32</v>
      </c>
      <c r="L595">
        <v>49</v>
      </c>
      <c r="M595" t="str">
        <f t="shared" si="10"/>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10"/>
        <v>old</v>
      </c>
      <c r="N596" t="s">
        <v>18</v>
      </c>
    </row>
    <row r="597" spans="1:14" x14ac:dyDescent="0.3">
      <c r="A597">
        <v>18058</v>
      </c>
      <c r="B597" t="s">
        <v>37</v>
      </c>
      <c r="C597" t="s">
        <v>42</v>
      </c>
      <c r="D597" s="3">
        <v>20000</v>
      </c>
      <c r="E597">
        <v>3</v>
      </c>
      <c r="F597" t="s">
        <v>27</v>
      </c>
      <c r="G597" t="s">
        <v>14</v>
      </c>
      <c r="H597" t="s">
        <v>15</v>
      </c>
      <c r="I597">
        <v>2</v>
      </c>
      <c r="J597" t="s">
        <v>22</v>
      </c>
      <c r="K597" t="s">
        <v>32</v>
      </c>
      <c r="L597">
        <v>78</v>
      </c>
      <c r="M597" t="str">
        <f t="shared" si="10"/>
        <v>old</v>
      </c>
      <c r="N597" t="s">
        <v>18</v>
      </c>
    </row>
    <row r="598" spans="1:14" x14ac:dyDescent="0.3">
      <c r="A598">
        <v>20343</v>
      </c>
      <c r="B598" t="s">
        <v>36</v>
      </c>
      <c r="C598" t="s">
        <v>42</v>
      </c>
      <c r="D598" s="3">
        <v>90000</v>
      </c>
      <c r="E598">
        <v>4</v>
      </c>
      <c r="F598" t="s">
        <v>19</v>
      </c>
      <c r="G598" t="s">
        <v>21</v>
      </c>
      <c r="H598" t="s">
        <v>15</v>
      </c>
      <c r="I598">
        <v>1</v>
      </c>
      <c r="J598" t="s">
        <v>26</v>
      </c>
      <c r="K598" t="s">
        <v>32</v>
      </c>
      <c r="L598">
        <v>45</v>
      </c>
      <c r="M598" t="str">
        <f t="shared" si="10"/>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10"/>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10"/>
        <v>middle age</v>
      </c>
      <c r="N600" t="s">
        <v>18</v>
      </c>
    </row>
    <row r="601" spans="1:14" x14ac:dyDescent="0.3">
      <c r="A601">
        <v>19002</v>
      </c>
      <c r="B601" t="s">
        <v>36</v>
      </c>
      <c r="C601" t="s">
        <v>42</v>
      </c>
      <c r="D601" s="3">
        <v>60000</v>
      </c>
      <c r="E601">
        <v>2</v>
      </c>
      <c r="F601" t="s">
        <v>19</v>
      </c>
      <c r="G601" t="s">
        <v>21</v>
      </c>
      <c r="H601" t="s">
        <v>15</v>
      </c>
      <c r="I601">
        <v>1</v>
      </c>
      <c r="J601" t="s">
        <v>22</v>
      </c>
      <c r="K601" t="s">
        <v>32</v>
      </c>
      <c r="L601">
        <v>57</v>
      </c>
      <c r="M601" t="str">
        <f t="shared" si="10"/>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10"/>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10"/>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10"/>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10"/>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10"/>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10"/>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10"/>
        <v>middle age</v>
      </c>
      <c r="N608" t="s">
        <v>18</v>
      </c>
    </row>
    <row r="609" spans="1:14" x14ac:dyDescent="0.3">
      <c r="A609">
        <v>16145</v>
      </c>
      <c r="B609" t="s">
        <v>37</v>
      </c>
      <c r="C609" t="s">
        <v>42</v>
      </c>
      <c r="D609" s="3">
        <v>70000</v>
      </c>
      <c r="E609">
        <v>5</v>
      </c>
      <c r="F609" t="s">
        <v>31</v>
      </c>
      <c r="G609" t="s">
        <v>21</v>
      </c>
      <c r="H609" t="s">
        <v>15</v>
      </c>
      <c r="I609">
        <v>3</v>
      </c>
      <c r="J609" t="s">
        <v>50</v>
      </c>
      <c r="K609" t="s">
        <v>32</v>
      </c>
      <c r="L609">
        <v>46</v>
      </c>
      <c r="M609" t="str">
        <f t="shared" si="10"/>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10"/>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10"/>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10"/>
        <v>middle age</v>
      </c>
      <c r="N612" t="s">
        <v>18</v>
      </c>
    </row>
    <row r="613" spans="1:14" x14ac:dyDescent="0.3">
      <c r="A613">
        <v>22994</v>
      </c>
      <c r="B613" t="s">
        <v>36</v>
      </c>
      <c r="C613" t="s">
        <v>42</v>
      </c>
      <c r="D613" s="3">
        <v>80000</v>
      </c>
      <c r="E613">
        <v>0</v>
      </c>
      <c r="F613" t="s">
        <v>13</v>
      </c>
      <c r="G613" t="s">
        <v>28</v>
      </c>
      <c r="H613" t="s">
        <v>15</v>
      </c>
      <c r="I613">
        <v>1</v>
      </c>
      <c r="J613" t="s">
        <v>26</v>
      </c>
      <c r="K613" t="s">
        <v>32</v>
      </c>
      <c r="L613">
        <v>34</v>
      </c>
      <c r="M613" t="str">
        <f t="shared" si="10"/>
        <v>middle age</v>
      </c>
      <c r="N613" t="s">
        <v>15</v>
      </c>
    </row>
    <row r="614" spans="1:14" x14ac:dyDescent="0.3">
      <c r="A614">
        <v>22983</v>
      </c>
      <c r="B614" t="s">
        <v>37</v>
      </c>
      <c r="C614" t="s">
        <v>42</v>
      </c>
      <c r="D614" s="3">
        <v>30000</v>
      </c>
      <c r="E614">
        <v>0</v>
      </c>
      <c r="F614" t="s">
        <v>29</v>
      </c>
      <c r="G614" t="s">
        <v>20</v>
      </c>
      <c r="H614" t="s">
        <v>15</v>
      </c>
      <c r="I614">
        <v>2</v>
      </c>
      <c r="J614" t="s">
        <v>23</v>
      </c>
      <c r="K614" t="s">
        <v>32</v>
      </c>
      <c r="L614">
        <v>27</v>
      </c>
      <c r="M614" t="str">
        <f t="shared" si="10"/>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10"/>
        <v>middle age</v>
      </c>
      <c r="N615" t="s">
        <v>15</v>
      </c>
    </row>
    <row r="616" spans="1:14" x14ac:dyDescent="0.3">
      <c r="A616">
        <v>14469</v>
      </c>
      <c r="B616" t="s">
        <v>36</v>
      </c>
      <c r="C616" t="s">
        <v>42</v>
      </c>
      <c r="D616" s="3">
        <v>100000</v>
      </c>
      <c r="E616">
        <v>3</v>
      </c>
      <c r="F616" t="s">
        <v>19</v>
      </c>
      <c r="G616" t="s">
        <v>21</v>
      </c>
      <c r="H616" t="s">
        <v>15</v>
      </c>
      <c r="I616">
        <v>4</v>
      </c>
      <c r="J616" t="s">
        <v>26</v>
      </c>
      <c r="K616" t="s">
        <v>32</v>
      </c>
      <c r="L616">
        <v>45</v>
      </c>
      <c r="M616" t="str">
        <f t="shared" si="10"/>
        <v>middle age</v>
      </c>
      <c r="N616" t="s">
        <v>18</v>
      </c>
    </row>
    <row r="617" spans="1:14" x14ac:dyDescent="0.3">
      <c r="A617">
        <v>11538</v>
      </c>
      <c r="B617" t="s">
        <v>37</v>
      </c>
      <c r="C617" t="s">
        <v>42</v>
      </c>
      <c r="D617" s="3">
        <v>60000</v>
      </c>
      <c r="E617">
        <v>4</v>
      </c>
      <c r="F617" t="s">
        <v>31</v>
      </c>
      <c r="G617" t="s">
        <v>14</v>
      </c>
      <c r="H617" t="s">
        <v>18</v>
      </c>
      <c r="I617">
        <v>0</v>
      </c>
      <c r="J617" t="s">
        <v>16</v>
      </c>
      <c r="K617" t="s">
        <v>32</v>
      </c>
      <c r="L617">
        <v>47</v>
      </c>
      <c r="M617" t="str">
        <f t="shared" si="10"/>
        <v>middle age</v>
      </c>
      <c r="N617" t="s">
        <v>15</v>
      </c>
    </row>
    <row r="618" spans="1:14" x14ac:dyDescent="0.3">
      <c r="A618">
        <v>16245</v>
      </c>
      <c r="B618" t="s">
        <v>37</v>
      </c>
      <c r="C618" t="s">
        <v>42</v>
      </c>
      <c r="D618" s="3">
        <v>80000</v>
      </c>
      <c r="E618">
        <v>4</v>
      </c>
      <c r="F618" t="s">
        <v>31</v>
      </c>
      <c r="G618" t="s">
        <v>14</v>
      </c>
      <c r="H618" t="s">
        <v>15</v>
      </c>
      <c r="I618">
        <v>0</v>
      </c>
      <c r="J618" t="s">
        <v>26</v>
      </c>
      <c r="K618" t="s">
        <v>32</v>
      </c>
      <c r="L618">
        <v>47</v>
      </c>
      <c r="M618" t="str">
        <f t="shared" si="10"/>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10"/>
        <v>middle age</v>
      </c>
      <c r="N619" t="s">
        <v>15</v>
      </c>
    </row>
    <row r="620" spans="1:14" x14ac:dyDescent="0.3">
      <c r="A620">
        <v>25347</v>
      </c>
      <c r="B620" t="s">
        <v>37</v>
      </c>
      <c r="C620" t="s">
        <v>42</v>
      </c>
      <c r="D620" s="3">
        <v>20000</v>
      </c>
      <c r="E620">
        <v>3</v>
      </c>
      <c r="F620" t="s">
        <v>29</v>
      </c>
      <c r="G620" t="s">
        <v>20</v>
      </c>
      <c r="H620" t="s">
        <v>18</v>
      </c>
      <c r="I620">
        <v>2</v>
      </c>
      <c r="J620" t="s">
        <v>16</v>
      </c>
      <c r="K620" t="s">
        <v>32</v>
      </c>
      <c r="L620">
        <v>49</v>
      </c>
      <c r="M620" t="str">
        <f t="shared" si="10"/>
        <v>middle age</v>
      </c>
      <c r="N620" t="s">
        <v>18</v>
      </c>
    </row>
    <row r="621" spans="1:14" x14ac:dyDescent="0.3">
      <c r="A621">
        <v>15814</v>
      </c>
      <c r="B621" t="s">
        <v>37</v>
      </c>
      <c r="C621" t="s">
        <v>42</v>
      </c>
      <c r="D621" s="3">
        <v>40000</v>
      </c>
      <c r="E621">
        <v>0</v>
      </c>
      <c r="F621" t="s">
        <v>27</v>
      </c>
      <c r="G621" t="s">
        <v>14</v>
      </c>
      <c r="H621" t="s">
        <v>15</v>
      </c>
      <c r="I621">
        <v>1</v>
      </c>
      <c r="J621" t="s">
        <v>23</v>
      </c>
      <c r="K621" t="s">
        <v>32</v>
      </c>
      <c r="L621">
        <v>30</v>
      </c>
      <c r="M621" t="str">
        <f t="shared" si="10"/>
        <v>Adolescent</v>
      </c>
      <c r="N621" t="s">
        <v>18</v>
      </c>
    </row>
    <row r="622" spans="1:14" x14ac:dyDescent="0.3">
      <c r="A622">
        <v>11259</v>
      </c>
      <c r="B622" t="s">
        <v>36</v>
      </c>
      <c r="C622" t="s">
        <v>42</v>
      </c>
      <c r="D622" s="3">
        <v>100000</v>
      </c>
      <c r="E622">
        <v>4</v>
      </c>
      <c r="F622" t="s">
        <v>19</v>
      </c>
      <c r="G622" t="s">
        <v>21</v>
      </c>
      <c r="H622" t="s">
        <v>15</v>
      </c>
      <c r="I622">
        <v>4</v>
      </c>
      <c r="J622" t="s">
        <v>22</v>
      </c>
      <c r="K622" t="s">
        <v>32</v>
      </c>
      <c r="L622">
        <v>41</v>
      </c>
      <c r="M622" t="str">
        <f t="shared" si="10"/>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10"/>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10"/>
        <v>middle age</v>
      </c>
      <c r="N624" t="s">
        <v>18</v>
      </c>
    </row>
    <row r="625" spans="1:14" x14ac:dyDescent="0.3">
      <c r="A625">
        <v>21801</v>
      </c>
      <c r="B625" t="s">
        <v>36</v>
      </c>
      <c r="C625" t="s">
        <v>42</v>
      </c>
      <c r="D625" s="3">
        <v>70000</v>
      </c>
      <c r="E625">
        <v>4</v>
      </c>
      <c r="F625" t="s">
        <v>19</v>
      </c>
      <c r="G625" t="s">
        <v>21</v>
      </c>
      <c r="H625" t="s">
        <v>15</v>
      </c>
      <c r="I625">
        <v>1</v>
      </c>
      <c r="J625" t="s">
        <v>26</v>
      </c>
      <c r="K625" t="s">
        <v>32</v>
      </c>
      <c r="L625">
        <v>55</v>
      </c>
      <c r="M625" t="str">
        <f t="shared" si="10"/>
        <v>old</v>
      </c>
      <c r="N625" t="s">
        <v>18</v>
      </c>
    </row>
    <row r="626" spans="1:14" x14ac:dyDescent="0.3">
      <c r="A626">
        <v>25943</v>
      </c>
      <c r="B626" t="s">
        <v>37</v>
      </c>
      <c r="C626" t="s">
        <v>42</v>
      </c>
      <c r="D626" s="3">
        <v>70000</v>
      </c>
      <c r="E626">
        <v>0</v>
      </c>
      <c r="F626" t="s">
        <v>19</v>
      </c>
      <c r="G626" t="s">
        <v>14</v>
      </c>
      <c r="H626" t="s">
        <v>18</v>
      </c>
      <c r="I626">
        <v>2</v>
      </c>
      <c r="J626" t="s">
        <v>16</v>
      </c>
      <c r="K626" t="s">
        <v>32</v>
      </c>
      <c r="L626">
        <v>27</v>
      </c>
      <c r="M626" t="str">
        <f t="shared" si="10"/>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10"/>
        <v>old</v>
      </c>
      <c r="N627" t="s">
        <v>18</v>
      </c>
    </row>
    <row r="628" spans="1:14" x14ac:dyDescent="0.3">
      <c r="A628">
        <v>20414</v>
      </c>
      <c r="B628" t="s">
        <v>36</v>
      </c>
      <c r="C628" t="s">
        <v>42</v>
      </c>
      <c r="D628" s="3">
        <v>60000</v>
      </c>
      <c r="E628">
        <v>0</v>
      </c>
      <c r="F628" t="s">
        <v>19</v>
      </c>
      <c r="G628" t="s">
        <v>14</v>
      </c>
      <c r="H628" t="s">
        <v>15</v>
      </c>
      <c r="I628">
        <v>2</v>
      </c>
      <c r="J628" t="s">
        <v>23</v>
      </c>
      <c r="K628" t="s">
        <v>32</v>
      </c>
      <c r="L628">
        <v>29</v>
      </c>
      <c r="M628" t="str">
        <f t="shared" si="10"/>
        <v>Adolescent</v>
      </c>
      <c r="N628" t="s">
        <v>18</v>
      </c>
    </row>
    <row r="629" spans="1:14" x14ac:dyDescent="0.3">
      <c r="A629">
        <v>23672</v>
      </c>
      <c r="B629" t="s">
        <v>36</v>
      </c>
      <c r="C629" t="s">
        <v>42</v>
      </c>
      <c r="D629" s="3">
        <v>60000</v>
      </c>
      <c r="E629">
        <v>3</v>
      </c>
      <c r="F629" t="s">
        <v>31</v>
      </c>
      <c r="G629" t="s">
        <v>28</v>
      </c>
      <c r="H629" t="s">
        <v>15</v>
      </c>
      <c r="I629">
        <v>2</v>
      </c>
      <c r="J629" t="s">
        <v>26</v>
      </c>
      <c r="K629" t="s">
        <v>32</v>
      </c>
      <c r="L629">
        <v>67</v>
      </c>
      <c r="M629" t="str">
        <f t="shared" si="10"/>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10"/>
        <v>middle age</v>
      </c>
      <c r="N630" t="s">
        <v>15</v>
      </c>
    </row>
    <row r="631" spans="1:14" x14ac:dyDescent="0.3">
      <c r="A631">
        <v>28815</v>
      </c>
      <c r="B631" t="s">
        <v>36</v>
      </c>
      <c r="C631" t="s">
        <v>42</v>
      </c>
      <c r="D631" s="3">
        <v>50000</v>
      </c>
      <c r="E631">
        <v>1</v>
      </c>
      <c r="F631" t="s">
        <v>31</v>
      </c>
      <c r="G631" t="s">
        <v>14</v>
      </c>
      <c r="H631" t="s">
        <v>15</v>
      </c>
      <c r="I631">
        <v>0</v>
      </c>
      <c r="J631" t="s">
        <v>16</v>
      </c>
      <c r="K631" t="s">
        <v>32</v>
      </c>
      <c r="L631">
        <v>35</v>
      </c>
      <c r="M631" t="str">
        <f t="shared" si="10"/>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10"/>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10"/>
        <v>middle age</v>
      </c>
      <c r="N633" t="s">
        <v>18</v>
      </c>
    </row>
    <row r="634" spans="1:14" x14ac:dyDescent="0.3">
      <c r="A634">
        <v>13754</v>
      </c>
      <c r="B634" t="s">
        <v>37</v>
      </c>
      <c r="C634" t="s">
        <v>42</v>
      </c>
      <c r="D634" s="3">
        <v>80000</v>
      </c>
      <c r="E634">
        <v>4</v>
      </c>
      <c r="F634" t="s">
        <v>31</v>
      </c>
      <c r="G634" t="s">
        <v>14</v>
      </c>
      <c r="H634" t="s">
        <v>15</v>
      </c>
      <c r="I634">
        <v>0</v>
      </c>
      <c r="J634" t="s">
        <v>26</v>
      </c>
      <c r="K634" t="s">
        <v>32</v>
      </c>
      <c r="L634">
        <v>48</v>
      </c>
      <c r="M634" t="str">
        <f t="shared" si="10"/>
        <v>middle age</v>
      </c>
      <c r="N634" t="s">
        <v>18</v>
      </c>
    </row>
    <row r="635" spans="1:14" x14ac:dyDescent="0.3">
      <c r="A635">
        <v>22088</v>
      </c>
      <c r="B635" t="s">
        <v>36</v>
      </c>
      <c r="C635" t="s">
        <v>42</v>
      </c>
      <c r="D635" s="3">
        <v>130000</v>
      </c>
      <c r="E635">
        <v>1</v>
      </c>
      <c r="F635" t="s">
        <v>13</v>
      </c>
      <c r="G635" t="s">
        <v>28</v>
      </c>
      <c r="H635" t="s">
        <v>15</v>
      </c>
      <c r="I635">
        <v>2</v>
      </c>
      <c r="J635" t="s">
        <v>16</v>
      </c>
      <c r="K635" t="s">
        <v>32</v>
      </c>
      <c r="L635">
        <v>45</v>
      </c>
      <c r="M635" t="str">
        <f t="shared" si="10"/>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10"/>
        <v>old</v>
      </c>
      <c r="N636" t="s">
        <v>18</v>
      </c>
    </row>
    <row r="637" spans="1:14" x14ac:dyDescent="0.3">
      <c r="A637">
        <v>24745</v>
      </c>
      <c r="B637" t="s">
        <v>37</v>
      </c>
      <c r="C637" t="s">
        <v>42</v>
      </c>
      <c r="D637" s="3">
        <v>30000</v>
      </c>
      <c r="E637">
        <v>2</v>
      </c>
      <c r="F637" t="s">
        <v>27</v>
      </c>
      <c r="G637" t="s">
        <v>14</v>
      </c>
      <c r="H637" t="s">
        <v>18</v>
      </c>
      <c r="I637">
        <v>2</v>
      </c>
      <c r="J637" t="s">
        <v>16</v>
      </c>
      <c r="K637" t="s">
        <v>32</v>
      </c>
      <c r="L637">
        <v>49</v>
      </c>
      <c r="M637" t="str">
        <f t="shared" si="10"/>
        <v>middle age</v>
      </c>
      <c r="N637" t="s">
        <v>18</v>
      </c>
    </row>
    <row r="638" spans="1:14" x14ac:dyDescent="0.3">
      <c r="A638">
        <v>29237</v>
      </c>
      <c r="B638" t="s">
        <v>37</v>
      </c>
      <c r="C638" t="s">
        <v>42</v>
      </c>
      <c r="D638" s="3">
        <v>120000</v>
      </c>
      <c r="E638">
        <v>4</v>
      </c>
      <c r="F638" t="s">
        <v>19</v>
      </c>
      <c r="G638" t="s">
        <v>21</v>
      </c>
      <c r="H638" t="s">
        <v>15</v>
      </c>
      <c r="I638">
        <v>3</v>
      </c>
      <c r="J638" t="s">
        <v>23</v>
      </c>
      <c r="K638" t="s">
        <v>32</v>
      </c>
      <c r="L638">
        <v>43</v>
      </c>
      <c r="M638" t="str">
        <f t="shared" si="10"/>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10"/>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10"/>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10"/>
        <v>old</v>
      </c>
      <c r="N641" t="s">
        <v>18</v>
      </c>
    </row>
    <row r="642" spans="1:14" x14ac:dyDescent="0.3">
      <c r="A642">
        <v>25886</v>
      </c>
      <c r="B642" t="s">
        <v>36</v>
      </c>
      <c r="C642" t="s">
        <v>42</v>
      </c>
      <c r="D642" s="3">
        <v>60000</v>
      </c>
      <c r="E642">
        <v>2</v>
      </c>
      <c r="F642" t="s">
        <v>19</v>
      </c>
      <c r="G642" t="s">
        <v>21</v>
      </c>
      <c r="H642" t="s">
        <v>15</v>
      </c>
      <c r="I642">
        <v>2</v>
      </c>
      <c r="J642" t="s">
        <v>22</v>
      </c>
      <c r="K642" t="s">
        <v>32</v>
      </c>
      <c r="L642">
        <v>56</v>
      </c>
      <c r="M642" t="str">
        <f t="shared" si="10"/>
        <v>old</v>
      </c>
      <c r="N642" t="s">
        <v>15</v>
      </c>
    </row>
    <row r="643" spans="1:14" x14ac:dyDescent="0.3">
      <c r="A643">
        <v>21441</v>
      </c>
      <c r="B643" t="s">
        <v>36</v>
      </c>
      <c r="C643" t="s">
        <v>38</v>
      </c>
      <c r="D643" s="3">
        <v>50000</v>
      </c>
      <c r="E643">
        <v>4</v>
      </c>
      <c r="F643" t="s">
        <v>13</v>
      </c>
      <c r="G643" t="s">
        <v>28</v>
      </c>
      <c r="H643" t="s">
        <v>15</v>
      </c>
      <c r="I643">
        <v>2</v>
      </c>
      <c r="J643" t="s">
        <v>50</v>
      </c>
      <c r="K643" t="s">
        <v>32</v>
      </c>
      <c r="L643">
        <v>64</v>
      </c>
      <c r="M643" t="str">
        <f t="shared" ref="M643:M706" si="11">IF(L643&gt;=55,"old",IF(L643&gt;=31,"middle age",IF(L643&lt;31,"Adolescent","invalid")))</f>
        <v>old</v>
      </c>
      <c r="N643" t="s">
        <v>18</v>
      </c>
    </row>
    <row r="644" spans="1:14" x14ac:dyDescent="0.3">
      <c r="A644">
        <v>21741</v>
      </c>
      <c r="B644" t="s">
        <v>36</v>
      </c>
      <c r="C644" t="s">
        <v>42</v>
      </c>
      <c r="D644" s="3">
        <v>70000</v>
      </c>
      <c r="E644">
        <v>3</v>
      </c>
      <c r="F644" t="s">
        <v>19</v>
      </c>
      <c r="G644" t="s">
        <v>21</v>
      </c>
      <c r="H644" t="s">
        <v>15</v>
      </c>
      <c r="I644">
        <v>2</v>
      </c>
      <c r="J644" t="s">
        <v>23</v>
      </c>
      <c r="K644" t="s">
        <v>32</v>
      </c>
      <c r="L644">
        <v>50</v>
      </c>
      <c r="M644" t="str">
        <f t="shared" si="11"/>
        <v>middle age</v>
      </c>
      <c r="N644" t="s">
        <v>15</v>
      </c>
    </row>
    <row r="645" spans="1:14" x14ac:dyDescent="0.3">
      <c r="A645">
        <v>14572</v>
      </c>
      <c r="B645" t="s">
        <v>36</v>
      </c>
      <c r="C645" t="s">
        <v>42</v>
      </c>
      <c r="D645" s="3">
        <v>70000</v>
      </c>
      <c r="E645">
        <v>3</v>
      </c>
      <c r="F645" t="s">
        <v>31</v>
      </c>
      <c r="G645" t="s">
        <v>21</v>
      </c>
      <c r="H645" t="s">
        <v>15</v>
      </c>
      <c r="I645">
        <v>0</v>
      </c>
      <c r="J645" t="s">
        <v>22</v>
      </c>
      <c r="K645" t="s">
        <v>32</v>
      </c>
      <c r="L645">
        <v>35</v>
      </c>
      <c r="M645" t="str">
        <f t="shared" si="11"/>
        <v>middle age</v>
      </c>
      <c r="N645" t="s">
        <v>15</v>
      </c>
    </row>
    <row r="646" spans="1:14" x14ac:dyDescent="0.3">
      <c r="A646">
        <v>23368</v>
      </c>
      <c r="B646" t="s">
        <v>36</v>
      </c>
      <c r="C646" t="s">
        <v>42</v>
      </c>
      <c r="D646" s="3">
        <v>60000</v>
      </c>
      <c r="E646">
        <v>5</v>
      </c>
      <c r="F646" t="s">
        <v>13</v>
      </c>
      <c r="G646" t="s">
        <v>14</v>
      </c>
      <c r="H646" t="s">
        <v>15</v>
      </c>
      <c r="I646">
        <v>3</v>
      </c>
      <c r="J646" t="s">
        <v>50</v>
      </c>
      <c r="K646" t="s">
        <v>32</v>
      </c>
      <c r="L646">
        <v>41</v>
      </c>
      <c r="M646" t="str">
        <f t="shared" si="11"/>
        <v>middle age</v>
      </c>
      <c r="N646" t="s">
        <v>18</v>
      </c>
    </row>
    <row r="647" spans="1:14" x14ac:dyDescent="0.3">
      <c r="A647">
        <v>16217</v>
      </c>
      <c r="B647" t="s">
        <v>37</v>
      </c>
      <c r="C647" t="s">
        <v>42</v>
      </c>
      <c r="D647" s="3">
        <v>60000</v>
      </c>
      <c r="E647">
        <v>0</v>
      </c>
      <c r="F647" t="s">
        <v>31</v>
      </c>
      <c r="G647" t="s">
        <v>14</v>
      </c>
      <c r="H647" t="s">
        <v>15</v>
      </c>
      <c r="I647">
        <v>0</v>
      </c>
      <c r="J647" t="s">
        <v>16</v>
      </c>
      <c r="K647" t="s">
        <v>32</v>
      </c>
      <c r="L647">
        <v>39</v>
      </c>
      <c r="M647" t="str">
        <f t="shared" si="11"/>
        <v>middle age</v>
      </c>
      <c r="N647" t="s">
        <v>18</v>
      </c>
    </row>
    <row r="648" spans="1:14" x14ac:dyDescent="0.3">
      <c r="A648">
        <v>16247</v>
      </c>
      <c r="B648" t="s">
        <v>37</v>
      </c>
      <c r="C648" t="s">
        <v>42</v>
      </c>
      <c r="D648" s="3">
        <v>60000</v>
      </c>
      <c r="E648">
        <v>4</v>
      </c>
      <c r="F648" t="s">
        <v>31</v>
      </c>
      <c r="G648" t="s">
        <v>14</v>
      </c>
      <c r="H648" t="s">
        <v>18</v>
      </c>
      <c r="I648">
        <v>0</v>
      </c>
      <c r="J648" t="s">
        <v>26</v>
      </c>
      <c r="K648" t="s">
        <v>32</v>
      </c>
      <c r="L648">
        <v>47</v>
      </c>
      <c r="M648" t="str">
        <f t="shared" si="11"/>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1"/>
        <v>middle age</v>
      </c>
      <c r="N649" t="s">
        <v>18</v>
      </c>
    </row>
    <row r="650" spans="1:14" x14ac:dyDescent="0.3">
      <c r="A650">
        <v>25872</v>
      </c>
      <c r="B650" t="s">
        <v>37</v>
      </c>
      <c r="C650" t="s">
        <v>42</v>
      </c>
      <c r="D650" s="3">
        <v>70000</v>
      </c>
      <c r="E650">
        <v>2</v>
      </c>
      <c r="F650" t="s">
        <v>13</v>
      </c>
      <c r="G650" t="s">
        <v>28</v>
      </c>
      <c r="H650" t="s">
        <v>18</v>
      </c>
      <c r="I650">
        <v>1</v>
      </c>
      <c r="J650" t="s">
        <v>22</v>
      </c>
      <c r="K650" t="s">
        <v>32</v>
      </c>
      <c r="L650">
        <v>58</v>
      </c>
      <c r="M650" t="str">
        <f t="shared" si="11"/>
        <v>old</v>
      </c>
      <c r="N650" t="s">
        <v>15</v>
      </c>
    </row>
    <row r="651" spans="1:14" x14ac:dyDescent="0.3">
      <c r="A651">
        <v>19164</v>
      </c>
      <c r="B651" t="s">
        <v>37</v>
      </c>
      <c r="C651" t="s">
        <v>42</v>
      </c>
      <c r="D651" s="3">
        <v>70000</v>
      </c>
      <c r="E651">
        <v>0</v>
      </c>
      <c r="F651" t="s">
        <v>13</v>
      </c>
      <c r="G651" t="s">
        <v>21</v>
      </c>
      <c r="H651" t="s">
        <v>18</v>
      </c>
      <c r="I651">
        <v>1</v>
      </c>
      <c r="J651" t="s">
        <v>22</v>
      </c>
      <c r="K651" t="s">
        <v>32</v>
      </c>
      <c r="L651">
        <v>38</v>
      </c>
      <c r="M651" t="str">
        <f t="shared" si="11"/>
        <v>middle age</v>
      </c>
      <c r="N651" t="s">
        <v>15</v>
      </c>
    </row>
    <row r="652" spans="1:14" x14ac:dyDescent="0.3">
      <c r="A652">
        <v>18435</v>
      </c>
      <c r="B652" t="s">
        <v>37</v>
      </c>
      <c r="C652" t="s">
        <v>42</v>
      </c>
      <c r="D652" s="3">
        <v>70000</v>
      </c>
      <c r="E652">
        <v>5</v>
      </c>
      <c r="F652" t="s">
        <v>31</v>
      </c>
      <c r="G652" t="s">
        <v>28</v>
      </c>
      <c r="H652" t="s">
        <v>15</v>
      </c>
      <c r="I652">
        <v>2</v>
      </c>
      <c r="J652" t="s">
        <v>50</v>
      </c>
      <c r="K652" t="s">
        <v>32</v>
      </c>
      <c r="L652">
        <v>67</v>
      </c>
      <c r="M652" t="str">
        <f t="shared" si="11"/>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1"/>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1"/>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1"/>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3">
      <c r="A657">
        <v>26236</v>
      </c>
      <c r="B657" t="s">
        <v>36</v>
      </c>
      <c r="C657" t="s">
        <v>42</v>
      </c>
      <c r="D657" s="3">
        <v>40000</v>
      </c>
      <c r="E657">
        <v>3</v>
      </c>
      <c r="F657" t="s">
        <v>19</v>
      </c>
      <c r="G657" t="s">
        <v>20</v>
      </c>
      <c r="H657" t="s">
        <v>15</v>
      </c>
      <c r="I657">
        <v>1</v>
      </c>
      <c r="J657" t="s">
        <v>16</v>
      </c>
      <c r="K657" t="s">
        <v>32</v>
      </c>
      <c r="L657">
        <v>31</v>
      </c>
      <c r="M657" t="str">
        <f t="shared" si="11"/>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1"/>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1"/>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1"/>
        <v>middle age</v>
      </c>
      <c r="N660" t="s">
        <v>15</v>
      </c>
    </row>
    <row r="661" spans="1:14" x14ac:dyDescent="0.3">
      <c r="A661">
        <v>24643</v>
      </c>
      <c r="B661" t="s">
        <v>37</v>
      </c>
      <c r="C661" t="s">
        <v>42</v>
      </c>
      <c r="D661" s="3">
        <v>60000</v>
      </c>
      <c r="E661">
        <v>4</v>
      </c>
      <c r="F661" t="s">
        <v>13</v>
      </c>
      <c r="G661" t="s">
        <v>28</v>
      </c>
      <c r="H661" t="s">
        <v>15</v>
      </c>
      <c r="I661">
        <v>2</v>
      </c>
      <c r="J661" t="s">
        <v>50</v>
      </c>
      <c r="K661" t="s">
        <v>32</v>
      </c>
      <c r="L661">
        <v>63</v>
      </c>
      <c r="M661" t="str">
        <f t="shared" si="11"/>
        <v>old</v>
      </c>
      <c r="N661" t="s">
        <v>18</v>
      </c>
    </row>
    <row r="662" spans="1:14" x14ac:dyDescent="0.3">
      <c r="A662">
        <v>21599</v>
      </c>
      <c r="B662" t="s">
        <v>36</v>
      </c>
      <c r="C662" t="s">
        <v>42</v>
      </c>
      <c r="D662" s="3">
        <v>60000</v>
      </c>
      <c r="E662">
        <v>1</v>
      </c>
      <c r="F662" t="s">
        <v>31</v>
      </c>
      <c r="G662" t="s">
        <v>21</v>
      </c>
      <c r="H662" t="s">
        <v>15</v>
      </c>
      <c r="I662">
        <v>0</v>
      </c>
      <c r="J662" t="s">
        <v>22</v>
      </c>
      <c r="K662" t="s">
        <v>32</v>
      </c>
      <c r="L662">
        <v>36</v>
      </c>
      <c r="M662" t="str">
        <f t="shared" si="11"/>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1"/>
        <v>Adolescent</v>
      </c>
      <c r="N663" t="s">
        <v>15</v>
      </c>
    </row>
    <row r="664" spans="1:14" x14ac:dyDescent="0.3">
      <c r="A664">
        <v>27637</v>
      </c>
      <c r="B664" t="s">
        <v>37</v>
      </c>
      <c r="C664" t="s">
        <v>42</v>
      </c>
      <c r="D664" s="3">
        <v>100000</v>
      </c>
      <c r="E664">
        <v>1</v>
      </c>
      <c r="F664" t="s">
        <v>19</v>
      </c>
      <c r="G664" t="s">
        <v>21</v>
      </c>
      <c r="H664" t="s">
        <v>18</v>
      </c>
      <c r="I664">
        <v>3</v>
      </c>
      <c r="J664" t="s">
        <v>26</v>
      </c>
      <c r="K664" t="s">
        <v>32</v>
      </c>
      <c r="L664">
        <v>44</v>
      </c>
      <c r="M664" t="str">
        <f t="shared" si="11"/>
        <v>middle age</v>
      </c>
      <c r="N664" t="s">
        <v>18</v>
      </c>
    </row>
    <row r="665" spans="1:14" x14ac:dyDescent="0.3">
      <c r="A665">
        <v>11890</v>
      </c>
      <c r="B665" t="s">
        <v>36</v>
      </c>
      <c r="C665" t="s">
        <v>42</v>
      </c>
      <c r="D665" s="3">
        <v>70000</v>
      </c>
      <c r="E665">
        <v>5</v>
      </c>
      <c r="F665" t="s">
        <v>31</v>
      </c>
      <c r="G665" t="s">
        <v>21</v>
      </c>
      <c r="H665" t="s">
        <v>15</v>
      </c>
      <c r="I665">
        <v>1</v>
      </c>
      <c r="J665" t="s">
        <v>16</v>
      </c>
      <c r="K665" t="s">
        <v>32</v>
      </c>
      <c r="L665">
        <v>47</v>
      </c>
      <c r="M665" t="str">
        <f t="shared" si="11"/>
        <v>middle age</v>
      </c>
      <c r="N665" t="s">
        <v>18</v>
      </c>
    </row>
    <row r="666" spans="1:14" x14ac:dyDescent="0.3">
      <c r="A666">
        <v>28580</v>
      </c>
      <c r="B666" t="s">
        <v>36</v>
      </c>
      <c r="C666" t="s">
        <v>42</v>
      </c>
      <c r="D666" s="3">
        <v>80000</v>
      </c>
      <c r="E666">
        <v>0</v>
      </c>
      <c r="F666" t="s">
        <v>31</v>
      </c>
      <c r="G666" t="s">
        <v>14</v>
      </c>
      <c r="H666" t="s">
        <v>15</v>
      </c>
      <c r="I666">
        <v>0</v>
      </c>
      <c r="J666" t="s">
        <v>26</v>
      </c>
      <c r="K666" t="s">
        <v>32</v>
      </c>
      <c r="L666">
        <v>40</v>
      </c>
      <c r="M666" t="str">
        <f t="shared" si="11"/>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1"/>
        <v>middle age</v>
      </c>
      <c r="N667" t="s">
        <v>18</v>
      </c>
    </row>
    <row r="668" spans="1:14" x14ac:dyDescent="0.3">
      <c r="A668">
        <v>17864</v>
      </c>
      <c r="B668" t="s">
        <v>36</v>
      </c>
      <c r="C668" t="s">
        <v>42</v>
      </c>
      <c r="D668" s="3">
        <v>60000</v>
      </c>
      <c r="E668">
        <v>1</v>
      </c>
      <c r="F668" t="s">
        <v>19</v>
      </c>
      <c r="G668" t="s">
        <v>14</v>
      </c>
      <c r="H668" t="s">
        <v>15</v>
      </c>
      <c r="I668">
        <v>1</v>
      </c>
      <c r="J668" t="s">
        <v>22</v>
      </c>
      <c r="K668" t="s">
        <v>32</v>
      </c>
      <c r="L668">
        <v>46</v>
      </c>
      <c r="M668" t="str">
        <f t="shared" si="11"/>
        <v>middle age</v>
      </c>
      <c r="N668" t="s">
        <v>15</v>
      </c>
    </row>
    <row r="669" spans="1:14" x14ac:dyDescent="0.3">
      <c r="A669">
        <v>20505</v>
      </c>
      <c r="B669" t="s">
        <v>36</v>
      </c>
      <c r="C669" t="s">
        <v>42</v>
      </c>
      <c r="D669" s="3">
        <v>40000</v>
      </c>
      <c r="E669">
        <v>5</v>
      </c>
      <c r="F669" t="s">
        <v>27</v>
      </c>
      <c r="G669" t="s">
        <v>21</v>
      </c>
      <c r="H669" t="s">
        <v>18</v>
      </c>
      <c r="I669">
        <v>2</v>
      </c>
      <c r="J669" t="s">
        <v>50</v>
      </c>
      <c r="K669" t="s">
        <v>32</v>
      </c>
      <c r="L669">
        <v>61</v>
      </c>
      <c r="M669" t="str">
        <f t="shared" si="11"/>
        <v>old</v>
      </c>
      <c r="N669" t="s">
        <v>18</v>
      </c>
    </row>
    <row r="670" spans="1:14" x14ac:dyDescent="0.3">
      <c r="A670">
        <v>14592</v>
      </c>
      <c r="B670" t="s">
        <v>36</v>
      </c>
      <c r="C670" t="s">
        <v>42</v>
      </c>
      <c r="D670" s="3">
        <v>60000</v>
      </c>
      <c r="E670">
        <v>0</v>
      </c>
      <c r="F670" t="s">
        <v>31</v>
      </c>
      <c r="G670" t="s">
        <v>21</v>
      </c>
      <c r="H670" t="s">
        <v>15</v>
      </c>
      <c r="I670">
        <v>0</v>
      </c>
      <c r="J670" t="s">
        <v>16</v>
      </c>
      <c r="K670" t="s">
        <v>32</v>
      </c>
      <c r="L670">
        <v>40</v>
      </c>
      <c r="M670" t="str">
        <f t="shared" si="11"/>
        <v>middle age</v>
      </c>
      <c r="N670" t="s">
        <v>18</v>
      </c>
    </row>
    <row r="671" spans="1:14" x14ac:dyDescent="0.3">
      <c r="A671">
        <v>22227</v>
      </c>
      <c r="B671" t="s">
        <v>36</v>
      </c>
      <c r="C671" t="s">
        <v>42</v>
      </c>
      <c r="D671" s="3">
        <v>60000</v>
      </c>
      <c r="E671">
        <v>2</v>
      </c>
      <c r="F671" t="s">
        <v>27</v>
      </c>
      <c r="G671" t="s">
        <v>21</v>
      </c>
      <c r="H671" t="s">
        <v>15</v>
      </c>
      <c r="I671">
        <v>2</v>
      </c>
      <c r="J671" t="s">
        <v>23</v>
      </c>
      <c r="K671" t="s">
        <v>32</v>
      </c>
      <c r="L671">
        <v>50</v>
      </c>
      <c r="M671" t="str">
        <f t="shared" si="11"/>
        <v>middle age</v>
      </c>
      <c r="N671" t="s">
        <v>18</v>
      </c>
    </row>
    <row r="672" spans="1:14" x14ac:dyDescent="0.3">
      <c r="A672">
        <v>21471</v>
      </c>
      <c r="B672" t="s">
        <v>36</v>
      </c>
      <c r="C672" t="s">
        <v>38</v>
      </c>
      <c r="D672" s="3">
        <v>70000</v>
      </c>
      <c r="E672">
        <v>2</v>
      </c>
      <c r="F672" t="s">
        <v>19</v>
      </c>
      <c r="G672" t="s">
        <v>21</v>
      </c>
      <c r="H672" t="s">
        <v>15</v>
      </c>
      <c r="I672">
        <v>1</v>
      </c>
      <c r="J672" t="s">
        <v>50</v>
      </c>
      <c r="K672" t="s">
        <v>32</v>
      </c>
      <c r="L672">
        <v>59</v>
      </c>
      <c r="M672" t="str">
        <f t="shared" si="11"/>
        <v>old</v>
      </c>
      <c r="N672" t="s">
        <v>18</v>
      </c>
    </row>
    <row r="673" spans="1:14" x14ac:dyDescent="0.3">
      <c r="A673">
        <v>22252</v>
      </c>
      <c r="B673" t="s">
        <v>37</v>
      </c>
      <c r="C673" t="s">
        <v>42</v>
      </c>
      <c r="D673" s="3">
        <v>60000</v>
      </c>
      <c r="E673">
        <v>1</v>
      </c>
      <c r="F673" t="s">
        <v>31</v>
      </c>
      <c r="G673" t="s">
        <v>21</v>
      </c>
      <c r="H673" t="s">
        <v>15</v>
      </c>
      <c r="I673">
        <v>0</v>
      </c>
      <c r="J673" t="s">
        <v>22</v>
      </c>
      <c r="K673" t="s">
        <v>32</v>
      </c>
      <c r="L673">
        <v>36</v>
      </c>
      <c r="M673" t="str">
        <f t="shared" si="11"/>
        <v>middle age</v>
      </c>
      <c r="N673" t="s">
        <v>15</v>
      </c>
    </row>
    <row r="674" spans="1:14" x14ac:dyDescent="0.3">
      <c r="A674">
        <v>21260</v>
      </c>
      <c r="B674" t="s">
        <v>37</v>
      </c>
      <c r="C674" t="s">
        <v>42</v>
      </c>
      <c r="D674" s="3">
        <v>40000</v>
      </c>
      <c r="E674">
        <v>0</v>
      </c>
      <c r="F674" t="s">
        <v>27</v>
      </c>
      <c r="G674" t="s">
        <v>14</v>
      </c>
      <c r="H674" t="s">
        <v>15</v>
      </c>
      <c r="I674">
        <v>2</v>
      </c>
      <c r="J674" t="s">
        <v>23</v>
      </c>
      <c r="K674" t="s">
        <v>32</v>
      </c>
      <c r="L674">
        <v>30</v>
      </c>
      <c r="M674" t="str">
        <f t="shared" si="11"/>
        <v>Adolescent</v>
      </c>
      <c r="N674" t="s">
        <v>18</v>
      </c>
    </row>
    <row r="675" spans="1:14" x14ac:dyDescent="0.3">
      <c r="A675">
        <v>11817</v>
      </c>
      <c r="B675" t="s">
        <v>37</v>
      </c>
      <c r="C675" t="s">
        <v>42</v>
      </c>
      <c r="D675" s="3">
        <v>70000</v>
      </c>
      <c r="E675">
        <v>4</v>
      </c>
      <c r="F675" t="s">
        <v>31</v>
      </c>
      <c r="G675" t="s">
        <v>21</v>
      </c>
      <c r="H675" t="s">
        <v>15</v>
      </c>
      <c r="I675">
        <v>0</v>
      </c>
      <c r="J675" t="s">
        <v>22</v>
      </c>
      <c r="K675" t="s">
        <v>32</v>
      </c>
      <c r="L675">
        <v>35</v>
      </c>
      <c r="M675" t="str">
        <f t="shared" si="11"/>
        <v>middle age</v>
      </c>
      <c r="N675" t="s">
        <v>15</v>
      </c>
    </row>
    <row r="676" spans="1:14" x14ac:dyDescent="0.3">
      <c r="A676">
        <v>19223</v>
      </c>
      <c r="B676" t="s">
        <v>36</v>
      </c>
      <c r="C676" t="s">
        <v>42</v>
      </c>
      <c r="D676" s="3">
        <v>30000</v>
      </c>
      <c r="E676">
        <v>2</v>
      </c>
      <c r="F676" t="s">
        <v>27</v>
      </c>
      <c r="G676" t="s">
        <v>14</v>
      </c>
      <c r="H676" t="s">
        <v>15</v>
      </c>
      <c r="I676">
        <v>2</v>
      </c>
      <c r="J676" t="s">
        <v>26</v>
      </c>
      <c r="K676" t="s">
        <v>32</v>
      </c>
      <c r="L676">
        <v>48</v>
      </c>
      <c r="M676" t="str">
        <f t="shared" si="11"/>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1"/>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1"/>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1"/>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1"/>
        <v>old</v>
      </c>
      <c r="N680" t="s">
        <v>18</v>
      </c>
    </row>
    <row r="681" spans="1:14" x14ac:dyDescent="0.3">
      <c r="A681">
        <v>21770</v>
      </c>
      <c r="B681" t="s">
        <v>36</v>
      </c>
      <c r="C681" t="s">
        <v>38</v>
      </c>
      <c r="D681" s="3">
        <v>60000</v>
      </c>
      <c r="E681">
        <v>4</v>
      </c>
      <c r="F681" t="s">
        <v>13</v>
      </c>
      <c r="G681" t="s">
        <v>28</v>
      </c>
      <c r="H681" t="s">
        <v>15</v>
      </c>
      <c r="I681">
        <v>2</v>
      </c>
      <c r="J681" t="s">
        <v>50</v>
      </c>
      <c r="K681" t="s">
        <v>32</v>
      </c>
      <c r="L681">
        <v>60</v>
      </c>
      <c r="M681" t="str">
        <f t="shared" si="11"/>
        <v>old</v>
      </c>
      <c r="N681" t="s">
        <v>18</v>
      </c>
    </row>
    <row r="682" spans="1:14" x14ac:dyDescent="0.3">
      <c r="A682">
        <v>11165</v>
      </c>
      <c r="B682" t="s">
        <v>36</v>
      </c>
      <c r="C682" t="s">
        <v>42</v>
      </c>
      <c r="D682" s="3">
        <v>60000</v>
      </c>
      <c r="E682">
        <v>0</v>
      </c>
      <c r="F682" t="s">
        <v>19</v>
      </c>
      <c r="G682" t="s">
        <v>14</v>
      </c>
      <c r="H682" t="s">
        <v>18</v>
      </c>
      <c r="I682">
        <v>1</v>
      </c>
      <c r="J682" t="s">
        <v>26</v>
      </c>
      <c r="K682" t="s">
        <v>32</v>
      </c>
      <c r="L682">
        <v>33</v>
      </c>
      <c r="M682" t="str">
        <f t="shared" si="11"/>
        <v>middle age</v>
      </c>
      <c r="N682" t="s">
        <v>18</v>
      </c>
    </row>
    <row r="683" spans="1:14" x14ac:dyDescent="0.3">
      <c r="A683">
        <v>16377</v>
      </c>
      <c r="B683" t="s">
        <v>37</v>
      </c>
      <c r="C683" t="s">
        <v>42</v>
      </c>
      <c r="D683" s="3">
        <v>80000</v>
      </c>
      <c r="E683">
        <v>4</v>
      </c>
      <c r="F683" t="s">
        <v>31</v>
      </c>
      <c r="G683" t="s">
        <v>14</v>
      </c>
      <c r="H683" t="s">
        <v>18</v>
      </c>
      <c r="I683">
        <v>0</v>
      </c>
      <c r="J683" t="s">
        <v>16</v>
      </c>
      <c r="K683" t="s">
        <v>32</v>
      </c>
      <c r="L683">
        <v>47</v>
      </c>
      <c r="M683" t="str">
        <f t="shared" si="11"/>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1"/>
        <v>middle age</v>
      </c>
      <c r="N684" t="s">
        <v>18</v>
      </c>
    </row>
    <row r="685" spans="1:14" x14ac:dyDescent="0.3">
      <c r="A685">
        <v>23461</v>
      </c>
      <c r="B685" t="s">
        <v>36</v>
      </c>
      <c r="C685" t="s">
        <v>42</v>
      </c>
      <c r="D685" s="3">
        <v>90000</v>
      </c>
      <c r="E685">
        <v>5</v>
      </c>
      <c r="F685" t="s">
        <v>19</v>
      </c>
      <c r="G685" t="s">
        <v>21</v>
      </c>
      <c r="H685" t="s">
        <v>15</v>
      </c>
      <c r="I685">
        <v>3</v>
      </c>
      <c r="J685" t="s">
        <v>22</v>
      </c>
      <c r="K685" t="s">
        <v>32</v>
      </c>
      <c r="L685">
        <v>40</v>
      </c>
      <c r="M685" t="str">
        <f t="shared" si="11"/>
        <v>middle age</v>
      </c>
      <c r="N685" t="s">
        <v>18</v>
      </c>
    </row>
    <row r="686" spans="1:14" x14ac:dyDescent="0.3">
      <c r="A686">
        <v>29133</v>
      </c>
      <c r="B686" t="s">
        <v>37</v>
      </c>
      <c r="C686" t="s">
        <v>42</v>
      </c>
      <c r="D686" s="3">
        <v>60000</v>
      </c>
      <c r="E686">
        <v>4</v>
      </c>
      <c r="F686" t="s">
        <v>13</v>
      </c>
      <c r="G686" t="s">
        <v>14</v>
      </c>
      <c r="H686" t="s">
        <v>18</v>
      </c>
      <c r="I686">
        <v>2</v>
      </c>
      <c r="J686" t="s">
        <v>16</v>
      </c>
      <c r="K686" t="s">
        <v>32</v>
      </c>
      <c r="L686">
        <v>42</v>
      </c>
      <c r="M686" t="str">
        <f t="shared" si="11"/>
        <v>middle age</v>
      </c>
      <c r="N686" t="s">
        <v>18</v>
      </c>
    </row>
    <row r="687" spans="1:14" x14ac:dyDescent="0.3">
      <c r="A687">
        <v>27673</v>
      </c>
      <c r="B687" t="s">
        <v>37</v>
      </c>
      <c r="C687" t="s">
        <v>42</v>
      </c>
      <c r="D687" s="3">
        <v>60000</v>
      </c>
      <c r="E687">
        <v>3</v>
      </c>
      <c r="F687" t="s">
        <v>31</v>
      </c>
      <c r="G687" t="s">
        <v>28</v>
      </c>
      <c r="H687" t="s">
        <v>15</v>
      </c>
      <c r="I687">
        <v>2</v>
      </c>
      <c r="J687" t="s">
        <v>23</v>
      </c>
      <c r="K687" t="s">
        <v>32</v>
      </c>
      <c r="L687">
        <v>53</v>
      </c>
      <c r="M687" t="str">
        <f t="shared" si="11"/>
        <v>middle age</v>
      </c>
      <c r="N687" t="s">
        <v>15</v>
      </c>
    </row>
    <row r="688" spans="1:14" x14ac:dyDescent="0.3">
      <c r="A688">
        <v>12774</v>
      </c>
      <c r="B688" t="s">
        <v>36</v>
      </c>
      <c r="C688" t="s">
        <v>42</v>
      </c>
      <c r="D688" s="3">
        <v>40000</v>
      </c>
      <c r="E688">
        <v>1</v>
      </c>
      <c r="F688" t="s">
        <v>19</v>
      </c>
      <c r="G688" t="s">
        <v>20</v>
      </c>
      <c r="H688" t="s">
        <v>15</v>
      </c>
      <c r="I688">
        <v>1</v>
      </c>
      <c r="J688" t="s">
        <v>26</v>
      </c>
      <c r="K688" t="s">
        <v>32</v>
      </c>
      <c r="L688">
        <v>51</v>
      </c>
      <c r="M688" t="str">
        <f t="shared" si="11"/>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1"/>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1"/>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1"/>
        <v>Adolescent</v>
      </c>
      <c r="N691" t="s">
        <v>18</v>
      </c>
    </row>
    <row r="692" spans="1:14" x14ac:dyDescent="0.3">
      <c r="A692">
        <v>28269</v>
      </c>
      <c r="B692" t="s">
        <v>37</v>
      </c>
      <c r="C692" t="s">
        <v>42</v>
      </c>
      <c r="D692" s="3">
        <v>130000</v>
      </c>
      <c r="E692">
        <v>1</v>
      </c>
      <c r="F692" t="s">
        <v>13</v>
      </c>
      <c r="G692" t="s">
        <v>28</v>
      </c>
      <c r="H692" t="s">
        <v>18</v>
      </c>
      <c r="I692">
        <v>1</v>
      </c>
      <c r="J692" t="s">
        <v>22</v>
      </c>
      <c r="K692" t="s">
        <v>32</v>
      </c>
      <c r="L692">
        <v>45</v>
      </c>
      <c r="M692" t="str">
        <f t="shared" si="11"/>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1"/>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1"/>
        <v>middle age</v>
      </c>
      <c r="N694" t="s">
        <v>15</v>
      </c>
    </row>
    <row r="695" spans="1:14" x14ac:dyDescent="0.3">
      <c r="A695">
        <v>25970</v>
      </c>
      <c r="B695" t="s">
        <v>37</v>
      </c>
      <c r="C695" t="s">
        <v>42</v>
      </c>
      <c r="D695" s="3">
        <v>60000</v>
      </c>
      <c r="E695">
        <v>4</v>
      </c>
      <c r="F695" t="s">
        <v>13</v>
      </c>
      <c r="G695" t="s">
        <v>14</v>
      </c>
      <c r="H695" t="s">
        <v>18</v>
      </c>
      <c r="I695">
        <v>2</v>
      </c>
      <c r="J695" t="s">
        <v>16</v>
      </c>
      <c r="K695" t="s">
        <v>32</v>
      </c>
      <c r="L695">
        <v>41</v>
      </c>
      <c r="M695" t="str">
        <f t="shared" si="11"/>
        <v>middle age</v>
      </c>
      <c r="N695" t="s">
        <v>15</v>
      </c>
    </row>
    <row r="696" spans="1:14" x14ac:dyDescent="0.3">
      <c r="A696">
        <v>28068</v>
      </c>
      <c r="B696" t="s">
        <v>37</v>
      </c>
      <c r="C696" t="s">
        <v>42</v>
      </c>
      <c r="D696" s="3">
        <v>80000</v>
      </c>
      <c r="E696">
        <v>3</v>
      </c>
      <c r="F696" t="s">
        <v>31</v>
      </c>
      <c r="G696" t="s">
        <v>21</v>
      </c>
      <c r="H696" t="s">
        <v>18</v>
      </c>
      <c r="I696">
        <v>0</v>
      </c>
      <c r="J696" t="s">
        <v>16</v>
      </c>
      <c r="K696" t="s">
        <v>32</v>
      </c>
      <c r="L696">
        <v>36</v>
      </c>
      <c r="M696" t="str">
        <f t="shared" si="11"/>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1"/>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1"/>
        <v>Adolescent</v>
      </c>
      <c r="N698" t="s">
        <v>18</v>
      </c>
    </row>
    <row r="699" spans="1:14" x14ac:dyDescent="0.3">
      <c r="A699">
        <v>14090</v>
      </c>
      <c r="B699" t="s">
        <v>36</v>
      </c>
      <c r="C699" t="s">
        <v>42</v>
      </c>
      <c r="D699" s="3">
        <v>30000</v>
      </c>
      <c r="E699">
        <v>0</v>
      </c>
      <c r="F699" t="s">
        <v>29</v>
      </c>
      <c r="G699" t="s">
        <v>20</v>
      </c>
      <c r="H699" t="s">
        <v>18</v>
      </c>
      <c r="I699">
        <v>2</v>
      </c>
      <c r="J699" t="s">
        <v>16</v>
      </c>
      <c r="K699" t="s">
        <v>32</v>
      </c>
      <c r="L699">
        <v>28</v>
      </c>
      <c r="M699" t="str">
        <f t="shared" si="11"/>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1"/>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1"/>
        <v>middle age</v>
      </c>
      <c r="N701" t="s">
        <v>15</v>
      </c>
    </row>
    <row r="702" spans="1:14" x14ac:dyDescent="0.3">
      <c r="A702">
        <v>16795</v>
      </c>
      <c r="B702" t="s">
        <v>36</v>
      </c>
      <c r="C702" t="s">
        <v>42</v>
      </c>
      <c r="D702" s="3">
        <v>70000</v>
      </c>
      <c r="E702">
        <v>4</v>
      </c>
      <c r="F702" t="s">
        <v>13</v>
      </c>
      <c r="G702" t="s">
        <v>28</v>
      </c>
      <c r="H702" t="s">
        <v>15</v>
      </c>
      <c r="I702">
        <v>1</v>
      </c>
      <c r="J702" t="s">
        <v>26</v>
      </c>
      <c r="K702" t="s">
        <v>32</v>
      </c>
      <c r="L702">
        <v>59</v>
      </c>
      <c r="M702" t="str">
        <f t="shared" si="11"/>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1"/>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1"/>
        <v>middle age</v>
      </c>
      <c r="N704" t="s">
        <v>15</v>
      </c>
    </row>
    <row r="705" spans="1:14" x14ac:dyDescent="0.3">
      <c r="A705">
        <v>11619</v>
      </c>
      <c r="B705" t="s">
        <v>37</v>
      </c>
      <c r="C705" t="s">
        <v>42</v>
      </c>
      <c r="D705" s="3">
        <v>50000</v>
      </c>
      <c r="E705">
        <v>0</v>
      </c>
      <c r="F705" t="s">
        <v>31</v>
      </c>
      <c r="G705" t="s">
        <v>14</v>
      </c>
      <c r="H705" t="s">
        <v>15</v>
      </c>
      <c r="I705">
        <v>0</v>
      </c>
      <c r="J705" t="s">
        <v>26</v>
      </c>
      <c r="K705" t="s">
        <v>32</v>
      </c>
      <c r="L705">
        <v>33</v>
      </c>
      <c r="M705" t="str">
        <f t="shared" si="11"/>
        <v>middle age</v>
      </c>
      <c r="N705" t="s">
        <v>18</v>
      </c>
    </row>
    <row r="706" spans="1:14" x14ac:dyDescent="0.3">
      <c r="A706">
        <v>29132</v>
      </c>
      <c r="B706" t="s">
        <v>37</v>
      </c>
      <c r="C706" t="s">
        <v>42</v>
      </c>
      <c r="D706" s="3">
        <v>40000</v>
      </c>
      <c r="E706">
        <v>0</v>
      </c>
      <c r="F706" t="s">
        <v>13</v>
      </c>
      <c r="G706" t="s">
        <v>21</v>
      </c>
      <c r="H706" t="s">
        <v>15</v>
      </c>
      <c r="I706">
        <v>1</v>
      </c>
      <c r="J706" t="s">
        <v>22</v>
      </c>
      <c r="K706" t="s">
        <v>32</v>
      </c>
      <c r="L706">
        <v>42</v>
      </c>
      <c r="M706" t="str">
        <f t="shared" si="11"/>
        <v>middle age</v>
      </c>
      <c r="N706" t="s">
        <v>15</v>
      </c>
    </row>
    <row r="707" spans="1:14" x14ac:dyDescent="0.3">
      <c r="A707">
        <v>11199</v>
      </c>
      <c r="B707" t="s">
        <v>36</v>
      </c>
      <c r="C707" t="s">
        <v>42</v>
      </c>
      <c r="D707" s="3">
        <v>70000</v>
      </c>
      <c r="E707">
        <v>4</v>
      </c>
      <c r="F707" t="s">
        <v>13</v>
      </c>
      <c r="G707" t="s">
        <v>28</v>
      </c>
      <c r="H707" t="s">
        <v>15</v>
      </c>
      <c r="I707">
        <v>1</v>
      </c>
      <c r="J707" t="s">
        <v>50</v>
      </c>
      <c r="K707" t="s">
        <v>32</v>
      </c>
      <c r="L707">
        <v>59</v>
      </c>
      <c r="M707" t="str">
        <f t="shared" ref="M707:M770" si="12">IF(L707&gt;=55,"old",IF(L707&gt;=31,"middle age",IF(L707&lt;31,"Adolescent","invalid")))</f>
        <v>old</v>
      </c>
      <c r="N707" t="s">
        <v>18</v>
      </c>
    </row>
    <row r="708" spans="1:14" x14ac:dyDescent="0.3">
      <c r="A708">
        <v>20296</v>
      </c>
      <c r="B708" t="s">
        <v>37</v>
      </c>
      <c r="C708" t="s">
        <v>42</v>
      </c>
      <c r="D708" s="3">
        <v>60000</v>
      </c>
      <c r="E708">
        <v>0</v>
      </c>
      <c r="F708" t="s">
        <v>19</v>
      </c>
      <c r="G708" t="s">
        <v>14</v>
      </c>
      <c r="H708" t="s">
        <v>18</v>
      </c>
      <c r="I708">
        <v>1</v>
      </c>
      <c r="J708" t="s">
        <v>26</v>
      </c>
      <c r="K708" t="s">
        <v>32</v>
      </c>
      <c r="L708">
        <v>33</v>
      </c>
      <c r="M708" t="str">
        <f t="shared" si="12"/>
        <v>middle age</v>
      </c>
      <c r="N708" t="s">
        <v>15</v>
      </c>
    </row>
    <row r="709" spans="1:14" x14ac:dyDescent="0.3">
      <c r="A709">
        <v>17546</v>
      </c>
      <c r="B709" t="s">
        <v>36</v>
      </c>
      <c r="C709" t="s">
        <v>42</v>
      </c>
      <c r="D709" s="3">
        <v>70000</v>
      </c>
      <c r="E709">
        <v>1</v>
      </c>
      <c r="F709" t="s">
        <v>19</v>
      </c>
      <c r="G709" t="s">
        <v>14</v>
      </c>
      <c r="H709" t="s">
        <v>15</v>
      </c>
      <c r="I709">
        <v>1</v>
      </c>
      <c r="J709" t="s">
        <v>16</v>
      </c>
      <c r="K709" t="s">
        <v>32</v>
      </c>
      <c r="L709">
        <v>44</v>
      </c>
      <c r="M709" t="str">
        <f t="shared" si="12"/>
        <v>middle age</v>
      </c>
      <c r="N709" t="s">
        <v>15</v>
      </c>
    </row>
    <row r="710" spans="1:14" x14ac:dyDescent="0.3">
      <c r="A710">
        <v>18069</v>
      </c>
      <c r="B710" t="s">
        <v>36</v>
      </c>
      <c r="C710" t="s">
        <v>38</v>
      </c>
      <c r="D710" s="3">
        <v>70000</v>
      </c>
      <c r="E710">
        <v>5</v>
      </c>
      <c r="F710" t="s">
        <v>13</v>
      </c>
      <c r="G710" t="s">
        <v>28</v>
      </c>
      <c r="H710" t="s">
        <v>15</v>
      </c>
      <c r="I710">
        <v>4</v>
      </c>
      <c r="J710" t="s">
        <v>50</v>
      </c>
      <c r="K710" t="s">
        <v>32</v>
      </c>
      <c r="L710">
        <v>60</v>
      </c>
      <c r="M710" t="str">
        <f t="shared" si="12"/>
        <v>old</v>
      </c>
      <c r="N710" t="s">
        <v>18</v>
      </c>
    </row>
    <row r="711" spans="1:14" x14ac:dyDescent="0.3">
      <c r="A711">
        <v>23712</v>
      </c>
      <c r="B711" t="s">
        <v>37</v>
      </c>
      <c r="C711" t="s">
        <v>42</v>
      </c>
      <c r="D711" s="3">
        <v>70000</v>
      </c>
      <c r="E711">
        <v>2</v>
      </c>
      <c r="F711" t="s">
        <v>13</v>
      </c>
      <c r="G711" t="s">
        <v>28</v>
      </c>
      <c r="H711" t="s">
        <v>15</v>
      </c>
      <c r="I711">
        <v>1</v>
      </c>
      <c r="J711" t="s">
        <v>50</v>
      </c>
      <c r="K711" t="s">
        <v>32</v>
      </c>
      <c r="L711">
        <v>59</v>
      </c>
      <c r="M711" t="str">
        <f t="shared" si="12"/>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3">
      <c r="A713">
        <v>20518</v>
      </c>
      <c r="B713" t="s">
        <v>36</v>
      </c>
      <c r="C713" t="s">
        <v>42</v>
      </c>
      <c r="D713" s="3">
        <v>70000</v>
      </c>
      <c r="E713">
        <v>2</v>
      </c>
      <c r="F713" t="s">
        <v>19</v>
      </c>
      <c r="G713" t="s">
        <v>21</v>
      </c>
      <c r="H713" t="s">
        <v>15</v>
      </c>
      <c r="I713">
        <v>1</v>
      </c>
      <c r="J713" t="s">
        <v>50</v>
      </c>
      <c r="K713" t="s">
        <v>32</v>
      </c>
      <c r="L713">
        <v>58</v>
      </c>
      <c r="M713" t="str">
        <f t="shared" si="12"/>
        <v>old</v>
      </c>
      <c r="N713" t="s">
        <v>18</v>
      </c>
    </row>
    <row r="714" spans="1:14" x14ac:dyDescent="0.3">
      <c r="A714">
        <v>28026</v>
      </c>
      <c r="B714" t="s">
        <v>36</v>
      </c>
      <c r="C714" t="s">
        <v>42</v>
      </c>
      <c r="D714" s="3">
        <v>40000</v>
      </c>
      <c r="E714">
        <v>2</v>
      </c>
      <c r="F714" t="s">
        <v>27</v>
      </c>
      <c r="G714" t="s">
        <v>21</v>
      </c>
      <c r="H714" t="s">
        <v>18</v>
      </c>
      <c r="I714">
        <v>2</v>
      </c>
      <c r="J714" t="s">
        <v>22</v>
      </c>
      <c r="K714" t="s">
        <v>32</v>
      </c>
      <c r="L714">
        <v>59</v>
      </c>
      <c r="M714" t="str">
        <f t="shared" si="12"/>
        <v>old</v>
      </c>
      <c r="N714" t="s">
        <v>18</v>
      </c>
    </row>
    <row r="715" spans="1:14" x14ac:dyDescent="0.3">
      <c r="A715">
        <v>11669</v>
      </c>
      <c r="B715" t="s">
        <v>37</v>
      </c>
      <c r="C715" t="s">
        <v>42</v>
      </c>
      <c r="D715" s="3">
        <v>70000</v>
      </c>
      <c r="E715">
        <v>2</v>
      </c>
      <c r="F715" t="s">
        <v>13</v>
      </c>
      <c r="G715" t="s">
        <v>14</v>
      </c>
      <c r="H715" t="s">
        <v>15</v>
      </c>
      <c r="I715">
        <v>1</v>
      </c>
      <c r="J715" t="s">
        <v>22</v>
      </c>
      <c r="K715" t="s">
        <v>32</v>
      </c>
      <c r="L715">
        <v>38</v>
      </c>
      <c r="M715" t="str">
        <f t="shared" si="12"/>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3">
      <c r="A717">
        <v>27090</v>
      </c>
      <c r="B717" t="s">
        <v>36</v>
      </c>
      <c r="C717" t="s">
        <v>42</v>
      </c>
      <c r="D717" s="3">
        <v>60000</v>
      </c>
      <c r="E717">
        <v>1</v>
      </c>
      <c r="F717" t="s">
        <v>31</v>
      </c>
      <c r="G717" t="s">
        <v>21</v>
      </c>
      <c r="H717" t="s">
        <v>15</v>
      </c>
      <c r="I717">
        <v>0</v>
      </c>
      <c r="J717" t="s">
        <v>22</v>
      </c>
      <c r="K717" t="s">
        <v>32</v>
      </c>
      <c r="L717">
        <v>37</v>
      </c>
      <c r="M717" t="str">
        <f t="shared" si="12"/>
        <v>middle age</v>
      </c>
      <c r="N717" t="s">
        <v>15</v>
      </c>
    </row>
    <row r="718" spans="1:14" x14ac:dyDescent="0.3">
      <c r="A718">
        <v>27198</v>
      </c>
      <c r="B718" t="s">
        <v>37</v>
      </c>
      <c r="C718" t="s">
        <v>42</v>
      </c>
      <c r="D718" s="3">
        <v>80000</v>
      </c>
      <c r="E718">
        <v>0</v>
      </c>
      <c r="F718" t="s">
        <v>31</v>
      </c>
      <c r="G718" t="s">
        <v>14</v>
      </c>
      <c r="H718" t="s">
        <v>18</v>
      </c>
      <c r="I718">
        <v>0</v>
      </c>
      <c r="J718" t="s">
        <v>16</v>
      </c>
      <c r="K718" t="s">
        <v>32</v>
      </c>
      <c r="L718">
        <v>40</v>
      </c>
      <c r="M718" t="str">
        <f t="shared" si="12"/>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3">
      <c r="A721">
        <v>26341</v>
      </c>
      <c r="B721" t="s">
        <v>36</v>
      </c>
      <c r="C721" t="s">
        <v>42</v>
      </c>
      <c r="D721" s="3">
        <v>70000</v>
      </c>
      <c r="E721">
        <v>5</v>
      </c>
      <c r="F721" t="s">
        <v>31</v>
      </c>
      <c r="G721" t="s">
        <v>21</v>
      </c>
      <c r="H721" t="s">
        <v>15</v>
      </c>
      <c r="I721">
        <v>2</v>
      </c>
      <c r="J721" t="s">
        <v>16</v>
      </c>
      <c r="K721" t="s">
        <v>32</v>
      </c>
      <c r="L721">
        <v>37</v>
      </c>
      <c r="M721" t="str">
        <f t="shared" si="12"/>
        <v>middle age</v>
      </c>
      <c r="N721" t="s">
        <v>18</v>
      </c>
    </row>
    <row r="722" spans="1:14" x14ac:dyDescent="0.3">
      <c r="A722">
        <v>24958</v>
      </c>
      <c r="B722" t="s">
        <v>37</v>
      </c>
      <c r="C722" t="s">
        <v>42</v>
      </c>
      <c r="D722" s="3">
        <v>40000</v>
      </c>
      <c r="E722">
        <v>5</v>
      </c>
      <c r="F722" t="s">
        <v>27</v>
      </c>
      <c r="G722" t="s">
        <v>21</v>
      </c>
      <c r="H722" t="s">
        <v>18</v>
      </c>
      <c r="I722">
        <v>3</v>
      </c>
      <c r="J722" t="s">
        <v>22</v>
      </c>
      <c r="K722" t="s">
        <v>32</v>
      </c>
      <c r="L722">
        <v>60</v>
      </c>
      <c r="M722" t="str">
        <f t="shared" si="12"/>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3">
      <c r="A724">
        <v>14493</v>
      </c>
      <c r="B724" t="s">
        <v>37</v>
      </c>
      <c r="C724" t="s">
        <v>42</v>
      </c>
      <c r="D724" s="3">
        <v>70000</v>
      </c>
      <c r="E724">
        <v>3</v>
      </c>
      <c r="F724" t="s">
        <v>31</v>
      </c>
      <c r="G724" t="s">
        <v>28</v>
      </c>
      <c r="H724" t="s">
        <v>18</v>
      </c>
      <c r="I724">
        <v>2</v>
      </c>
      <c r="J724" t="s">
        <v>26</v>
      </c>
      <c r="K724" t="s">
        <v>32</v>
      </c>
      <c r="L724">
        <v>53</v>
      </c>
      <c r="M724" t="str">
        <f t="shared" si="12"/>
        <v>middle age</v>
      </c>
      <c r="N724" t="s">
        <v>18</v>
      </c>
    </row>
    <row r="725" spans="1:14" x14ac:dyDescent="0.3">
      <c r="A725">
        <v>26678</v>
      </c>
      <c r="B725" t="s">
        <v>37</v>
      </c>
      <c r="C725" t="s">
        <v>42</v>
      </c>
      <c r="D725" s="3">
        <v>80000</v>
      </c>
      <c r="E725">
        <v>2</v>
      </c>
      <c r="F725" t="s">
        <v>29</v>
      </c>
      <c r="G725" t="s">
        <v>14</v>
      </c>
      <c r="H725" t="s">
        <v>15</v>
      </c>
      <c r="I725">
        <v>2</v>
      </c>
      <c r="J725" t="s">
        <v>23</v>
      </c>
      <c r="K725" t="s">
        <v>32</v>
      </c>
      <c r="L725">
        <v>49</v>
      </c>
      <c r="M725" t="str">
        <f t="shared" si="12"/>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3">
      <c r="A731">
        <v>11886</v>
      </c>
      <c r="B731" t="s">
        <v>36</v>
      </c>
      <c r="C731" t="s">
        <v>42</v>
      </c>
      <c r="D731" s="3">
        <v>60000</v>
      </c>
      <c r="E731">
        <v>3</v>
      </c>
      <c r="F731" t="s">
        <v>13</v>
      </c>
      <c r="G731" t="s">
        <v>21</v>
      </c>
      <c r="H731" t="s">
        <v>15</v>
      </c>
      <c r="I731">
        <v>1</v>
      </c>
      <c r="J731" t="s">
        <v>16</v>
      </c>
      <c r="K731" t="s">
        <v>32</v>
      </c>
      <c r="L731">
        <v>48</v>
      </c>
      <c r="M731" t="str">
        <f t="shared" si="12"/>
        <v>middle age</v>
      </c>
      <c r="N731" t="s">
        <v>15</v>
      </c>
    </row>
    <row r="732" spans="1:14" x14ac:dyDescent="0.3">
      <c r="A732">
        <v>24324</v>
      </c>
      <c r="B732" t="s">
        <v>37</v>
      </c>
      <c r="C732" t="s">
        <v>42</v>
      </c>
      <c r="D732" s="3">
        <v>60000</v>
      </c>
      <c r="E732">
        <v>4</v>
      </c>
      <c r="F732" t="s">
        <v>13</v>
      </c>
      <c r="G732" t="s">
        <v>14</v>
      </c>
      <c r="H732" t="s">
        <v>15</v>
      </c>
      <c r="I732">
        <v>2</v>
      </c>
      <c r="J732" t="s">
        <v>22</v>
      </c>
      <c r="K732" t="s">
        <v>32</v>
      </c>
      <c r="L732">
        <v>41</v>
      </c>
      <c r="M732" t="str">
        <f t="shared" si="12"/>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3">
      <c r="A734">
        <v>26625</v>
      </c>
      <c r="B734" t="s">
        <v>37</v>
      </c>
      <c r="C734" t="s">
        <v>42</v>
      </c>
      <c r="D734" s="3">
        <v>60000</v>
      </c>
      <c r="E734">
        <v>0</v>
      </c>
      <c r="F734" t="s">
        <v>31</v>
      </c>
      <c r="G734" t="s">
        <v>21</v>
      </c>
      <c r="H734" t="s">
        <v>15</v>
      </c>
      <c r="I734">
        <v>1</v>
      </c>
      <c r="J734" t="s">
        <v>22</v>
      </c>
      <c r="K734" t="s">
        <v>32</v>
      </c>
      <c r="L734">
        <v>38</v>
      </c>
      <c r="M734" t="str">
        <f t="shared" si="12"/>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3">
      <c r="A736">
        <v>16867</v>
      </c>
      <c r="B736" t="s">
        <v>37</v>
      </c>
      <c r="C736" t="s">
        <v>42</v>
      </c>
      <c r="D736" s="3">
        <v>130000</v>
      </c>
      <c r="E736">
        <v>1</v>
      </c>
      <c r="F736" t="s">
        <v>13</v>
      </c>
      <c r="G736" t="s">
        <v>28</v>
      </c>
      <c r="H736" t="s">
        <v>18</v>
      </c>
      <c r="I736">
        <v>3</v>
      </c>
      <c r="J736" t="s">
        <v>16</v>
      </c>
      <c r="K736" t="s">
        <v>32</v>
      </c>
      <c r="L736">
        <v>45</v>
      </c>
      <c r="M736" t="str">
        <f t="shared" si="12"/>
        <v>middle age</v>
      </c>
      <c r="N736" t="s">
        <v>15</v>
      </c>
    </row>
    <row r="737" spans="1:14" x14ac:dyDescent="0.3">
      <c r="A737">
        <v>14514</v>
      </c>
      <c r="B737" t="s">
        <v>37</v>
      </c>
      <c r="C737" t="s">
        <v>42</v>
      </c>
      <c r="D737" s="3">
        <v>30000</v>
      </c>
      <c r="E737">
        <v>0</v>
      </c>
      <c r="F737" t="s">
        <v>19</v>
      </c>
      <c r="G737" t="s">
        <v>14</v>
      </c>
      <c r="H737" t="s">
        <v>15</v>
      </c>
      <c r="I737">
        <v>1</v>
      </c>
      <c r="J737" t="s">
        <v>23</v>
      </c>
      <c r="K737" t="s">
        <v>32</v>
      </c>
      <c r="L737">
        <v>26</v>
      </c>
      <c r="M737" t="str">
        <f t="shared" si="12"/>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2"/>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3">
      <c r="A740">
        <v>28799</v>
      </c>
      <c r="B740" t="s">
        <v>37</v>
      </c>
      <c r="C740" t="s">
        <v>42</v>
      </c>
      <c r="D740" s="3">
        <v>40000</v>
      </c>
      <c r="E740">
        <v>2</v>
      </c>
      <c r="F740" t="s">
        <v>19</v>
      </c>
      <c r="G740" t="s">
        <v>20</v>
      </c>
      <c r="H740" t="s">
        <v>18</v>
      </c>
      <c r="I740">
        <v>1</v>
      </c>
      <c r="J740" t="s">
        <v>26</v>
      </c>
      <c r="K740" t="s">
        <v>32</v>
      </c>
      <c r="L740">
        <v>47</v>
      </c>
      <c r="M740" t="str">
        <f t="shared" si="12"/>
        <v>middle age</v>
      </c>
      <c r="N740" t="s">
        <v>15</v>
      </c>
    </row>
    <row r="741" spans="1:14" x14ac:dyDescent="0.3">
      <c r="A741">
        <v>11225</v>
      </c>
      <c r="B741" t="s">
        <v>36</v>
      </c>
      <c r="C741" t="s">
        <v>42</v>
      </c>
      <c r="D741" s="3">
        <v>60000</v>
      </c>
      <c r="E741">
        <v>2</v>
      </c>
      <c r="F741" t="s">
        <v>19</v>
      </c>
      <c r="G741" t="s">
        <v>21</v>
      </c>
      <c r="H741" t="s">
        <v>15</v>
      </c>
      <c r="I741">
        <v>1</v>
      </c>
      <c r="J741" t="s">
        <v>50</v>
      </c>
      <c r="K741" t="s">
        <v>32</v>
      </c>
      <c r="L741">
        <v>55</v>
      </c>
      <c r="M741" t="str">
        <f t="shared" si="12"/>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3">
      <c r="A743">
        <v>14913</v>
      </c>
      <c r="B743" t="s">
        <v>36</v>
      </c>
      <c r="C743" t="s">
        <v>42</v>
      </c>
      <c r="D743" s="3">
        <v>40000</v>
      </c>
      <c r="E743">
        <v>1</v>
      </c>
      <c r="F743" t="s">
        <v>19</v>
      </c>
      <c r="G743" t="s">
        <v>20</v>
      </c>
      <c r="H743" t="s">
        <v>15</v>
      </c>
      <c r="I743">
        <v>1</v>
      </c>
      <c r="J743" t="s">
        <v>26</v>
      </c>
      <c r="K743" t="s">
        <v>32</v>
      </c>
      <c r="L743">
        <v>48</v>
      </c>
      <c r="M743" t="str">
        <f t="shared" si="12"/>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3">
      <c r="A746">
        <v>20535</v>
      </c>
      <c r="B746" t="s">
        <v>36</v>
      </c>
      <c r="C746" t="s">
        <v>42</v>
      </c>
      <c r="D746" s="3">
        <v>70000</v>
      </c>
      <c r="E746">
        <v>4</v>
      </c>
      <c r="F746" t="s">
        <v>19</v>
      </c>
      <c r="G746" t="s">
        <v>21</v>
      </c>
      <c r="H746" t="s">
        <v>15</v>
      </c>
      <c r="I746">
        <v>1</v>
      </c>
      <c r="J746" t="s">
        <v>50</v>
      </c>
      <c r="K746" t="s">
        <v>32</v>
      </c>
      <c r="L746">
        <v>56</v>
      </c>
      <c r="M746" t="str">
        <f t="shared" si="12"/>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3">
      <c r="A748">
        <v>28043</v>
      </c>
      <c r="B748" t="s">
        <v>36</v>
      </c>
      <c r="C748" t="s">
        <v>42</v>
      </c>
      <c r="D748" s="3">
        <v>60000</v>
      </c>
      <c r="E748">
        <v>2</v>
      </c>
      <c r="F748" t="s">
        <v>13</v>
      </c>
      <c r="G748" t="s">
        <v>28</v>
      </c>
      <c r="H748" t="s">
        <v>15</v>
      </c>
      <c r="I748">
        <v>0</v>
      </c>
      <c r="J748" t="s">
        <v>50</v>
      </c>
      <c r="K748" t="s">
        <v>32</v>
      </c>
      <c r="L748">
        <v>56</v>
      </c>
      <c r="M748" t="str">
        <f t="shared" si="12"/>
        <v>old</v>
      </c>
      <c r="N748" t="s">
        <v>18</v>
      </c>
    </row>
    <row r="749" spans="1:14" x14ac:dyDescent="0.3">
      <c r="A749">
        <v>12957</v>
      </c>
      <c r="B749" t="s">
        <v>37</v>
      </c>
      <c r="C749" t="s">
        <v>42</v>
      </c>
      <c r="D749" s="3">
        <v>70000</v>
      </c>
      <c r="E749">
        <v>1</v>
      </c>
      <c r="F749" t="s">
        <v>13</v>
      </c>
      <c r="G749" t="s">
        <v>21</v>
      </c>
      <c r="H749" t="s">
        <v>18</v>
      </c>
      <c r="I749">
        <v>1</v>
      </c>
      <c r="J749" t="s">
        <v>16</v>
      </c>
      <c r="K749" t="s">
        <v>32</v>
      </c>
      <c r="L749">
        <v>44</v>
      </c>
      <c r="M749" t="str">
        <f t="shared" si="12"/>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3">
      <c r="A751">
        <v>20514</v>
      </c>
      <c r="B751" t="s">
        <v>36</v>
      </c>
      <c r="C751" t="s">
        <v>42</v>
      </c>
      <c r="D751" s="3">
        <v>70000</v>
      </c>
      <c r="E751">
        <v>2</v>
      </c>
      <c r="F751" t="s">
        <v>19</v>
      </c>
      <c r="G751" t="s">
        <v>21</v>
      </c>
      <c r="H751" t="s">
        <v>15</v>
      </c>
      <c r="I751">
        <v>1</v>
      </c>
      <c r="J751" t="s">
        <v>22</v>
      </c>
      <c r="K751" t="s">
        <v>32</v>
      </c>
      <c r="L751">
        <v>59</v>
      </c>
      <c r="M751" t="str">
        <f t="shared" si="12"/>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3">
      <c r="A755">
        <v>28087</v>
      </c>
      <c r="B755" t="s">
        <v>37</v>
      </c>
      <c r="C755" t="s">
        <v>42</v>
      </c>
      <c r="D755" s="3">
        <v>40000</v>
      </c>
      <c r="E755">
        <v>0</v>
      </c>
      <c r="F755" t="s">
        <v>19</v>
      </c>
      <c r="G755" t="s">
        <v>14</v>
      </c>
      <c r="H755" t="s">
        <v>18</v>
      </c>
      <c r="I755">
        <v>1</v>
      </c>
      <c r="J755" t="s">
        <v>26</v>
      </c>
      <c r="K755" t="s">
        <v>32</v>
      </c>
      <c r="L755">
        <v>27</v>
      </c>
      <c r="M755" t="str">
        <f t="shared" si="12"/>
        <v>Adolescent</v>
      </c>
      <c r="N755" t="s">
        <v>18</v>
      </c>
    </row>
    <row r="756" spans="1:14" x14ac:dyDescent="0.3">
      <c r="A756">
        <v>23668</v>
      </c>
      <c r="B756" t="s">
        <v>36</v>
      </c>
      <c r="C756" t="s">
        <v>42</v>
      </c>
      <c r="D756" s="3">
        <v>40000</v>
      </c>
      <c r="E756">
        <v>4</v>
      </c>
      <c r="F756" t="s">
        <v>27</v>
      </c>
      <c r="G756" t="s">
        <v>21</v>
      </c>
      <c r="H756" t="s">
        <v>15</v>
      </c>
      <c r="I756">
        <v>2</v>
      </c>
      <c r="J756" t="s">
        <v>23</v>
      </c>
      <c r="K756" t="s">
        <v>32</v>
      </c>
      <c r="L756">
        <v>59</v>
      </c>
      <c r="M756" t="str">
        <f t="shared" si="12"/>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3">
      <c r="A760">
        <v>21714</v>
      </c>
      <c r="B760" t="s">
        <v>37</v>
      </c>
      <c r="C760" t="s">
        <v>42</v>
      </c>
      <c r="D760" s="3">
        <v>80000</v>
      </c>
      <c r="E760">
        <v>5</v>
      </c>
      <c r="F760" t="s">
        <v>31</v>
      </c>
      <c r="G760" t="s">
        <v>14</v>
      </c>
      <c r="H760" t="s">
        <v>18</v>
      </c>
      <c r="I760">
        <v>0</v>
      </c>
      <c r="J760" t="s">
        <v>16</v>
      </c>
      <c r="K760" t="s">
        <v>32</v>
      </c>
      <c r="L760">
        <v>47</v>
      </c>
      <c r="M760" t="str">
        <f t="shared" si="12"/>
        <v>middle age</v>
      </c>
      <c r="N760" t="s">
        <v>18</v>
      </c>
    </row>
    <row r="761" spans="1:14" x14ac:dyDescent="0.3">
      <c r="A761">
        <v>23217</v>
      </c>
      <c r="B761" t="s">
        <v>37</v>
      </c>
      <c r="C761" t="s">
        <v>42</v>
      </c>
      <c r="D761" s="3">
        <v>60000</v>
      </c>
      <c r="E761">
        <v>3</v>
      </c>
      <c r="F761" t="s">
        <v>31</v>
      </c>
      <c r="G761" t="s">
        <v>21</v>
      </c>
      <c r="H761" t="s">
        <v>15</v>
      </c>
      <c r="I761">
        <v>0</v>
      </c>
      <c r="J761" t="s">
        <v>22</v>
      </c>
      <c r="K761" t="s">
        <v>32</v>
      </c>
      <c r="L761">
        <v>43</v>
      </c>
      <c r="M761" t="str">
        <f t="shared" si="12"/>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3">
      <c r="A763">
        <v>13216</v>
      </c>
      <c r="B763" t="s">
        <v>36</v>
      </c>
      <c r="C763" t="s">
        <v>42</v>
      </c>
      <c r="D763" s="3">
        <v>60000</v>
      </c>
      <c r="E763">
        <v>5</v>
      </c>
      <c r="F763" t="s">
        <v>13</v>
      </c>
      <c r="G763" t="s">
        <v>28</v>
      </c>
      <c r="H763" t="s">
        <v>15</v>
      </c>
      <c r="I763">
        <v>3</v>
      </c>
      <c r="J763" t="s">
        <v>50</v>
      </c>
      <c r="K763" t="s">
        <v>32</v>
      </c>
      <c r="L763">
        <v>59</v>
      </c>
      <c r="M763" t="str">
        <f t="shared" si="12"/>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3">
      <c r="A766">
        <v>25908</v>
      </c>
      <c r="B766" t="s">
        <v>36</v>
      </c>
      <c r="C766" t="s">
        <v>42</v>
      </c>
      <c r="D766" s="3">
        <v>60000</v>
      </c>
      <c r="E766">
        <v>0</v>
      </c>
      <c r="F766" t="s">
        <v>19</v>
      </c>
      <c r="G766" t="s">
        <v>14</v>
      </c>
      <c r="H766" t="s">
        <v>18</v>
      </c>
      <c r="I766">
        <v>1</v>
      </c>
      <c r="J766" t="s">
        <v>26</v>
      </c>
      <c r="K766" t="s">
        <v>32</v>
      </c>
      <c r="L766">
        <v>27</v>
      </c>
      <c r="M766" t="str">
        <f t="shared" si="12"/>
        <v>Adolescent</v>
      </c>
      <c r="N766" t="s">
        <v>18</v>
      </c>
    </row>
    <row r="767" spans="1:14" x14ac:dyDescent="0.3">
      <c r="A767">
        <v>16753</v>
      </c>
      <c r="B767" t="s">
        <v>37</v>
      </c>
      <c r="C767" t="s">
        <v>42</v>
      </c>
      <c r="D767" s="3">
        <v>70000</v>
      </c>
      <c r="E767">
        <v>0</v>
      </c>
      <c r="F767" t="s">
        <v>19</v>
      </c>
      <c r="G767" t="s">
        <v>14</v>
      </c>
      <c r="H767" t="s">
        <v>15</v>
      </c>
      <c r="I767">
        <v>2</v>
      </c>
      <c r="J767" t="s">
        <v>23</v>
      </c>
      <c r="K767" t="s">
        <v>32</v>
      </c>
      <c r="L767">
        <v>34</v>
      </c>
      <c r="M767" t="str">
        <f t="shared" si="12"/>
        <v>middle age</v>
      </c>
      <c r="N767" t="s">
        <v>15</v>
      </c>
    </row>
    <row r="768" spans="1:14" x14ac:dyDescent="0.3">
      <c r="A768">
        <v>14608</v>
      </c>
      <c r="B768" t="s">
        <v>36</v>
      </c>
      <c r="C768" t="s">
        <v>38</v>
      </c>
      <c r="D768" s="3">
        <v>50000</v>
      </c>
      <c r="E768">
        <v>4</v>
      </c>
      <c r="F768" t="s">
        <v>13</v>
      </c>
      <c r="G768" t="s">
        <v>14</v>
      </c>
      <c r="H768" t="s">
        <v>15</v>
      </c>
      <c r="I768">
        <v>3</v>
      </c>
      <c r="J768" t="s">
        <v>50</v>
      </c>
      <c r="K768" t="s">
        <v>32</v>
      </c>
      <c r="L768">
        <v>42</v>
      </c>
      <c r="M768" t="str">
        <f t="shared" si="12"/>
        <v>middle age</v>
      </c>
      <c r="N768" t="s">
        <v>18</v>
      </c>
    </row>
    <row r="769" spans="1:14" x14ac:dyDescent="0.3">
      <c r="A769">
        <v>24979</v>
      </c>
      <c r="B769" t="s">
        <v>36</v>
      </c>
      <c r="C769" t="s">
        <v>42</v>
      </c>
      <c r="D769" s="3">
        <v>60000</v>
      </c>
      <c r="E769">
        <v>2</v>
      </c>
      <c r="F769" t="s">
        <v>19</v>
      </c>
      <c r="G769" t="s">
        <v>21</v>
      </c>
      <c r="H769" t="s">
        <v>15</v>
      </c>
      <c r="I769">
        <v>2</v>
      </c>
      <c r="J769" t="s">
        <v>22</v>
      </c>
      <c r="K769" t="s">
        <v>32</v>
      </c>
      <c r="L769">
        <v>57</v>
      </c>
      <c r="M769" t="str">
        <f t="shared" si="12"/>
        <v>old</v>
      </c>
      <c r="N769" t="s">
        <v>15</v>
      </c>
    </row>
    <row r="770" spans="1:14" x14ac:dyDescent="0.3">
      <c r="A770">
        <v>13313</v>
      </c>
      <c r="B770" t="s">
        <v>36</v>
      </c>
      <c r="C770" t="s">
        <v>42</v>
      </c>
      <c r="D770" s="3">
        <v>120000</v>
      </c>
      <c r="E770">
        <v>1</v>
      </c>
      <c r="F770" t="s">
        <v>27</v>
      </c>
      <c r="G770" t="s">
        <v>21</v>
      </c>
      <c r="H770" t="s">
        <v>18</v>
      </c>
      <c r="I770">
        <v>4</v>
      </c>
      <c r="J770" t="s">
        <v>22</v>
      </c>
      <c r="K770" t="s">
        <v>32</v>
      </c>
      <c r="L770">
        <v>45</v>
      </c>
      <c r="M770" t="str">
        <f t="shared" si="12"/>
        <v>middle age</v>
      </c>
      <c r="N770" t="s">
        <v>18</v>
      </c>
    </row>
    <row r="771" spans="1:14" x14ac:dyDescent="0.3">
      <c r="A771">
        <v>18952</v>
      </c>
      <c r="B771" t="s">
        <v>36</v>
      </c>
      <c r="C771" t="s">
        <v>42</v>
      </c>
      <c r="D771" s="3">
        <v>100000</v>
      </c>
      <c r="E771">
        <v>4</v>
      </c>
      <c r="F771" t="s">
        <v>13</v>
      </c>
      <c r="G771" t="s">
        <v>28</v>
      </c>
      <c r="H771" t="s">
        <v>15</v>
      </c>
      <c r="I771">
        <v>4</v>
      </c>
      <c r="J771" t="s">
        <v>16</v>
      </c>
      <c r="K771" t="s">
        <v>32</v>
      </c>
      <c r="L771">
        <v>40</v>
      </c>
      <c r="M771" t="str">
        <f t="shared" ref="M771:M834" si="13">IF(L771&gt;=55,"old",IF(L771&gt;=31,"middle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3">
      <c r="A775">
        <v>11783</v>
      </c>
      <c r="B775" t="s">
        <v>36</v>
      </c>
      <c r="C775" t="s">
        <v>42</v>
      </c>
      <c r="D775" s="3">
        <v>60000</v>
      </c>
      <c r="E775">
        <v>1</v>
      </c>
      <c r="F775" t="s">
        <v>31</v>
      </c>
      <c r="G775" t="s">
        <v>14</v>
      </c>
      <c r="H775" t="s">
        <v>15</v>
      </c>
      <c r="I775">
        <v>0</v>
      </c>
      <c r="J775" t="s">
        <v>16</v>
      </c>
      <c r="K775" t="s">
        <v>32</v>
      </c>
      <c r="L775">
        <v>34</v>
      </c>
      <c r="M775" t="str">
        <f t="shared" si="13"/>
        <v>middle age</v>
      </c>
      <c r="N775" t="s">
        <v>18</v>
      </c>
    </row>
    <row r="776" spans="1:14" x14ac:dyDescent="0.3">
      <c r="A776">
        <v>14602</v>
      </c>
      <c r="B776" t="s">
        <v>36</v>
      </c>
      <c r="C776" t="s">
        <v>42</v>
      </c>
      <c r="D776" s="3">
        <v>80000</v>
      </c>
      <c r="E776">
        <v>3</v>
      </c>
      <c r="F776" t="s">
        <v>31</v>
      </c>
      <c r="G776" t="s">
        <v>21</v>
      </c>
      <c r="H776" t="s">
        <v>15</v>
      </c>
      <c r="I776">
        <v>0</v>
      </c>
      <c r="J776" t="s">
        <v>16</v>
      </c>
      <c r="K776" t="s">
        <v>32</v>
      </c>
      <c r="L776">
        <v>36</v>
      </c>
      <c r="M776" t="str">
        <f t="shared" si="13"/>
        <v>middle age</v>
      </c>
      <c r="N776" t="s">
        <v>15</v>
      </c>
    </row>
    <row r="777" spans="1:14" x14ac:dyDescent="0.3">
      <c r="A777">
        <v>29030</v>
      </c>
      <c r="B777" t="s">
        <v>36</v>
      </c>
      <c r="C777" t="s">
        <v>38</v>
      </c>
      <c r="D777" s="3">
        <v>70000</v>
      </c>
      <c r="E777">
        <v>2</v>
      </c>
      <c r="F777" t="s">
        <v>29</v>
      </c>
      <c r="G777" t="s">
        <v>14</v>
      </c>
      <c r="H777" t="s">
        <v>15</v>
      </c>
      <c r="I777">
        <v>2</v>
      </c>
      <c r="J777" t="s">
        <v>50</v>
      </c>
      <c r="K777" t="s">
        <v>32</v>
      </c>
      <c r="L777">
        <v>54</v>
      </c>
      <c r="M777" t="str">
        <f t="shared" si="13"/>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3">
      <c r="A782">
        <v>18105</v>
      </c>
      <c r="B782" t="s">
        <v>36</v>
      </c>
      <c r="C782" t="s">
        <v>42</v>
      </c>
      <c r="D782" s="3">
        <v>60000</v>
      </c>
      <c r="E782">
        <v>2</v>
      </c>
      <c r="F782" t="s">
        <v>19</v>
      </c>
      <c r="G782" t="s">
        <v>21</v>
      </c>
      <c r="H782" t="s">
        <v>15</v>
      </c>
      <c r="I782">
        <v>1</v>
      </c>
      <c r="J782" t="s">
        <v>50</v>
      </c>
      <c r="K782" t="s">
        <v>32</v>
      </c>
      <c r="L782">
        <v>55</v>
      </c>
      <c r="M782" t="str">
        <f t="shared" si="13"/>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3">
      <c r="A786">
        <v>20076</v>
      </c>
      <c r="B786" t="s">
        <v>37</v>
      </c>
      <c r="C786" t="s">
        <v>42</v>
      </c>
      <c r="D786" s="3">
        <v>10000</v>
      </c>
      <c r="E786">
        <v>2</v>
      </c>
      <c r="F786" t="s">
        <v>27</v>
      </c>
      <c r="G786" t="s">
        <v>25</v>
      </c>
      <c r="H786" t="s">
        <v>15</v>
      </c>
      <c r="I786">
        <v>2</v>
      </c>
      <c r="J786" t="s">
        <v>26</v>
      </c>
      <c r="K786" t="s">
        <v>32</v>
      </c>
      <c r="L786">
        <v>53</v>
      </c>
      <c r="M786" t="str">
        <f t="shared" si="13"/>
        <v>middle age</v>
      </c>
      <c r="N786" t="s">
        <v>15</v>
      </c>
    </row>
    <row r="787" spans="1:14" x14ac:dyDescent="0.3">
      <c r="A787">
        <v>24496</v>
      </c>
      <c r="B787" t="s">
        <v>37</v>
      </c>
      <c r="C787" t="s">
        <v>42</v>
      </c>
      <c r="D787" s="3">
        <v>40000</v>
      </c>
      <c r="E787">
        <v>0</v>
      </c>
      <c r="F787" t="s">
        <v>27</v>
      </c>
      <c r="G787" t="s">
        <v>14</v>
      </c>
      <c r="H787" t="s">
        <v>18</v>
      </c>
      <c r="I787">
        <v>2</v>
      </c>
      <c r="J787" t="s">
        <v>16</v>
      </c>
      <c r="K787" t="s">
        <v>32</v>
      </c>
      <c r="L787">
        <v>28</v>
      </c>
      <c r="M787" t="str">
        <f t="shared" si="13"/>
        <v>Adolescent</v>
      </c>
      <c r="N787" t="s">
        <v>15</v>
      </c>
    </row>
    <row r="788" spans="1:14" x14ac:dyDescent="0.3">
      <c r="A788">
        <v>15468</v>
      </c>
      <c r="B788" t="s">
        <v>36</v>
      </c>
      <c r="C788" t="s">
        <v>42</v>
      </c>
      <c r="D788" s="3">
        <v>50000</v>
      </c>
      <c r="E788">
        <v>1</v>
      </c>
      <c r="F788" t="s">
        <v>13</v>
      </c>
      <c r="G788" t="s">
        <v>14</v>
      </c>
      <c r="H788" t="s">
        <v>15</v>
      </c>
      <c r="I788">
        <v>1</v>
      </c>
      <c r="J788" t="s">
        <v>16</v>
      </c>
      <c r="K788" t="s">
        <v>32</v>
      </c>
      <c r="L788">
        <v>35</v>
      </c>
      <c r="M788" t="str">
        <f t="shared" si="13"/>
        <v>middle age</v>
      </c>
      <c r="N788" t="s">
        <v>18</v>
      </c>
    </row>
    <row r="789" spans="1:14" x14ac:dyDescent="0.3">
      <c r="A789">
        <v>28031</v>
      </c>
      <c r="B789" t="s">
        <v>37</v>
      </c>
      <c r="C789" t="s">
        <v>42</v>
      </c>
      <c r="D789" s="3">
        <v>70000</v>
      </c>
      <c r="E789">
        <v>2</v>
      </c>
      <c r="F789" t="s">
        <v>13</v>
      </c>
      <c r="G789" t="s">
        <v>28</v>
      </c>
      <c r="H789" t="s">
        <v>18</v>
      </c>
      <c r="I789">
        <v>1</v>
      </c>
      <c r="J789" t="s">
        <v>22</v>
      </c>
      <c r="K789" t="s">
        <v>32</v>
      </c>
      <c r="L789">
        <v>59</v>
      </c>
      <c r="M789" t="str">
        <f t="shared" si="13"/>
        <v>old</v>
      </c>
      <c r="N789" t="s">
        <v>15</v>
      </c>
    </row>
    <row r="790" spans="1:14" x14ac:dyDescent="0.3">
      <c r="A790">
        <v>26270</v>
      </c>
      <c r="B790" t="s">
        <v>37</v>
      </c>
      <c r="C790" t="s">
        <v>42</v>
      </c>
      <c r="D790" s="3">
        <v>20000</v>
      </c>
      <c r="E790">
        <v>2</v>
      </c>
      <c r="F790" t="s">
        <v>29</v>
      </c>
      <c r="G790" t="s">
        <v>20</v>
      </c>
      <c r="H790" t="s">
        <v>15</v>
      </c>
      <c r="I790">
        <v>2</v>
      </c>
      <c r="J790" t="s">
        <v>26</v>
      </c>
      <c r="K790" t="s">
        <v>32</v>
      </c>
      <c r="L790">
        <v>49</v>
      </c>
      <c r="M790" t="str">
        <f t="shared" si="13"/>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3">
      <c r="A792">
        <v>28228</v>
      </c>
      <c r="B792" t="s">
        <v>37</v>
      </c>
      <c r="C792" t="s">
        <v>42</v>
      </c>
      <c r="D792" s="3">
        <v>80000</v>
      </c>
      <c r="E792">
        <v>2</v>
      </c>
      <c r="F792" t="s">
        <v>29</v>
      </c>
      <c r="G792" t="s">
        <v>14</v>
      </c>
      <c r="H792" t="s">
        <v>18</v>
      </c>
      <c r="I792">
        <v>2</v>
      </c>
      <c r="J792" t="s">
        <v>26</v>
      </c>
      <c r="K792" t="s">
        <v>32</v>
      </c>
      <c r="L792">
        <v>50</v>
      </c>
      <c r="M792" t="str">
        <f t="shared" si="13"/>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3">
      <c r="A800">
        <v>22971</v>
      </c>
      <c r="B800" t="s">
        <v>37</v>
      </c>
      <c r="C800" t="s">
        <v>42</v>
      </c>
      <c r="D800" s="3">
        <v>30000</v>
      </c>
      <c r="E800">
        <v>0</v>
      </c>
      <c r="F800" t="s">
        <v>27</v>
      </c>
      <c r="G800" t="s">
        <v>14</v>
      </c>
      <c r="H800" t="s">
        <v>18</v>
      </c>
      <c r="I800">
        <v>2</v>
      </c>
      <c r="J800" t="s">
        <v>16</v>
      </c>
      <c r="K800" t="s">
        <v>32</v>
      </c>
      <c r="L800">
        <v>25</v>
      </c>
      <c r="M800" t="str">
        <f t="shared" si="13"/>
        <v>Adolescent</v>
      </c>
      <c r="N800" t="s">
        <v>15</v>
      </c>
    </row>
    <row r="801" spans="1:14" x14ac:dyDescent="0.3">
      <c r="A801">
        <v>15287</v>
      </c>
      <c r="B801" t="s">
        <v>37</v>
      </c>
      <c r="C801" t="s">
        <v>42</v>
      </c>
      <c r="D801" s="3">
        <v>50000</v>
      </c>
      <c r="E801">
        <v>1</v>
      </c>
      <c r="F801" t="s">
        <v>31</v>
      </c>
      <c r="G801" t="s">
        <v>14</v>
      </c>
      <c r="H801" t="s">
        <v>15</v>
      </c>
      <c r="I801">
        <v>0</v>
      </c>
      <c r="J801" t="s">
        <v>26</v>
      </c>
      <c r="K801" t="s">
        <v>32</v>
      </c>
      <c r="L801">
        <v>33</v>
      </c>
      <c r="M801" t="str">
        <f t="shared" si="13"/>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3">
      <c r="A807">
        <v>26778</v>
      </c>
      <c r="B807" t="s">
        <v>37</v>
      </c>
      <c r="C807" t="s">
        <v>42</v>
      </c>
      <c r="D807" s="3">
        <v>40000</v>
      </c>
      <c r="E807">
        <v>0</v>
      </c>
      <c r="F807" t="s">
        <v>27</v>
      </c>
      <c r="G807" t="s">
        <v>14</v>
      </c>
      <c r="H807" t="s">
        <v>15</v>
      </c>
      <c r="I807">
        <v>2</v>
      </c>
      <c r="J807" t="s">
        <v>23</v>
      </c>
      <c r="K807" t="s">
        <v>32</v>
      </c>
      <c r="L807">
        <v>31</v>
      </c>
      <c r="M807" t="str">
        <f t="shared" si="13"/>
        <v>middle age</v>
      </c>
      <c r="N807" t="s">
        <v>18</v>
      </c>
    </row>
    <row r="808" spans="1:14" x14ac:dyDescent="0.3">
      <c r="A808">
        <v>23248</v>
      </c>
      <c r="B808" t="s">
        <v>36</v>
      </c>
      <c r="C808" t="s">
        <v>42</v>
      </c>
      <c r="D808" s="3">
        <v>10000</v>
      </c>
      <c r="E808">
        <v>2</v>
      </c>
      <c r="F808" t="s">
        <v>27</v>
      </c>
      <c r="G808" t="s">
        <v>25</v>
      </c>
      <c r="H808" t="s">
        <v>15</v>
      </c>
      <c r="I808">
        <v>2</v>
      </c>
      <c r="J808" t="s">
        <v>26</v>
      </c>
      <c r="K808" t="s">
        <v>32</v>
      </c>
      <c r="L808">
        <v>53</v>
      </c>
      <c r="M808" t="str">
        <f t="shared" si="13"/>
        <v>middle age</v>
      </c>
      <c r="N808" t="s">
        <v>18</v>
      </c>
    </row>
    <row r="809" spans="1:14" x14ac:dyDescent="0.3">
      <c r="A809">
        <v>21417</v>
      </c>
      <c r="B809" t="s">
        <v>37</v>
      </c>
      <c r="C809" t="s">
        <v>42</v>
      </c>
      <c r="D809" s="3">
        <v>60000</v>
      </c>
      <c r="E809">
        <v>0</v>
      </c>
      <c r="F809" t="s">
        <v>19</v>
      </c>
      <c r="G809" t="s">
        <v>21</v>
      </c>
      <c r="H809" t="s">
        <v>18</v>
      </c>
      <c r="I809">
        <v>2</v>
      </c>
      <c r="J809" t="s">
        <v>26</v>
      </c>
      <c r="K809" t="s">
        <v>32</v>
      </c>
      <c r="L809">
        <v>32</v>
      </c>
      <c r="M809" t="str">
        <f t="shared" si="13"/>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3">
      <c r="A811">
        <v>27994</v>
      </c>
      <c r="B811" t="s">
        <v>36</v>
      </c>
      <c r="C811" t="s">
        <v>42</v>
      </c>
      <c r="D811" s="3">
        <v>40000</v>
      </c>
      <c r="E811">
        <v>4</v>
      </c>
      <c r="F811" t="s">
        <v>27</v>
      </c>
      <c r="G811" t="s">
        <v>21</v>
      </c>
      <c r="H811" t="s">
        <v>15</v>
      </c>
      <c r="I811">
        <v>2</v>
      </c>
      <c r="J811" t="s">
        <v>23</v>
      </c>
      <c r="K811" t="s">
        <v>32</v>
      </c>
      <c r="L811">
        <v>69</v>
      </c>
      <c r="M811" t="str">
        <f t="shared" si="13"/>
        <v>old</v>
      </c>
      <c r="N811" t="s">
        <v>18</v>
      </c>
    </row>
    <row r="812" spans="1:14" x14ac:dyDescent="0.3">
      <c r="A812">
        <v>20376</v>
      </c>
      <c r="B812" t="s">
        <v>37</v>
      </c>
      <c r="C812" t="s">
        <v>42</v>
      </c>
      <c r="D812" s="3">
        <v>70000</v>
      </c>
      <c r="E812">
        <v>3</v>
      </c>
      <c r="F812" t="s">
        <v>31</v>
      </c>
      <c r="G812" t="s">
        <v>28</v>
      </c>
      <c r="H812" t="s">
        <v>15</v>
      </c>
      <c r="I812">
        <v>2</v>
      </c>
      <c r="J812" t="s">
        <v>23</v>
      </c>
      <c r="K812" t="s">
        <v>32</v>
      </c>
      <c r="L812">
        <v>52</v>
      </c>
      <c r="M812" t="str">
        <f t="shared" si="13"/>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3"/>
        <v>middle age</v>
      </c>
      <c r="N813" t="s">
        <v>18</v>
      </c>
    </row>
    <row r="814" spans="1:14" x14ac:dyDescent="0.3">
      <c r="A814">
        <v>15749</v>
      </c>
      <c r="B814" t="s">
        <v>37</v>
      </c>
      <c r="C814" t="s">
        <v>42</v>
      </c>
      <c r="D814" s="3">
        <v>70000</v>
      </c>
      <c r="E814">
        <v>4</v>
      </c>
      <c r="F814" t="s">
        <v>13</v>
      </c>
      <c r="G814" t="s">
        <v>28</v>
      </c>
      <c r="H814" t="s">
        <v>15</v>
      </c>
      <c r="I814">
        <v>2</v>
      </c>
      <c r="J814" t="s">
        <v>50</v>
      </c>
      <c r="K814" t="s">
        <v>32</v>
      </c>
      <c r="L814">
        <v>61</v>
      </c>
      <c r="M814" t="str">
        <f t="shared" si="13"/>
        <v>old</v>
      </c>
      <c r="N814" t="s">
        <v>18</v>
      </c>
    </row>
    <row r="815" spans="1:14" x14ac:dyDescent="0.3">
      <c r="A815">
        <v>25899</v>
      </c>
      <c r="B815" t="s">
        <v>36</v>
      </c>
      <c r="C815" t="s">
        <v>42</v>
      </c>
      <c r="D815" s="3">
        <v>70000</v>
      </c>
      <c r="E815">
        <v>2</v>
      </c>
      <c r="F815" t="s">
        <v>27</v>
      </c>
      <c r="G815" t="s">
        <v>21</v>
      </c>
      <c r="H815" t="s">
        <v>15</v>
      </c>
      <c r="I815">
        <v>2</v>
      </c>
      <c r="J815" t="s">
        <v>50</v>
      </c>
      <c r="K815" t="s">
        <v>32</v>
      </c>
      <c r="L815">
        <v>53</v>
      </c>
      <c r="M815" t="str">
        <f t="shared" si="13"/>
        <v>middle age</v>
      </c>
      <c r="N815" t="s">
        <v>18</v>
      </c>
    </row>
    <row r="816" spans="1:14" x14ac:dyDescent="0.3">
      <c r="A816">
        <v>13351</v>
      </c>
      <c r="B816" t="s">
        <v>37</v>
      </c>
      <c r="C816" t="s">
        <v>42</v>
      </c>
      <c r="D816" s="3">
        <v>70000</v>
      </c>
      <c r="E816">
        <v>4</v>
      </c>
      <c r="F816" t="s">
        <v>13</v>
      </c>
      <c r="G816" t="s">
        <v>28</v>
      </c>
      <c r="H816" t="s">
        <v>15</v>
      </c>
      <c r="I816">
        <v>2</v>
      </c>
      <c r="J816" t="s">
        <v>26</v>
      </c>
      <c r="K816" t="s">
        <v>32</v>
      </c>
      <c r="L816">
        <v>62</v>
      </c>
      <c r="M816" t="str">
        <f t="shared" si="13"/>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3">
      <c r="A818">
        <v>21660</v>
      </c>
      <c r="B818" t="s">
        <v>36</v>
      </c>
      <c r="C818" t="s">
        <v>42</v>
      </c>
      <c r="D818" s="3">
        <v>60000</v>
      </c>
      <c r="E818">
        <v>3</v>
      </c>
      <c r="F818" t="s">
        <v>31</v>
      </c>
      <c r="G818" t="s">
        <v>21</v>
      </c>
      <c r="H818" t="s">
        <v>15</v>
      </c>
      <c r="I818">
        <v>0</v>
      </c>
      <c r="J818" t="s">
        <v>22</v>
      </c>
      <c r="K818" t="s">
        <v>32</v>
      </c>
      <c r="L818">
        <v>43</v>
      </c>
      <c r="M818" t="str">
        <f t="shared" si="13"/>
        <v>middle age</v>
      </c>
      <c r="N818" t="s">
        <v>15</v>
      </c>
    </row>
    <row r="819" spans="1:14" x14ac:dyDescent="0.3">
      <c r="A819">
        <v>17012</v>
      </c>
      <c r="B819" t="s">
        <v>36</v>
      </c>
      <c r="C819" t="s">
        <v>42</v>
      </c>
      <c r="D819" s="3">
        <v>60000</v>
      </c>
      <c r="E819">
        <v>3</v>
      </c>
      <c r="F819" t="s">
        <v>31</v>
      </c>
      <c r="G819" t="s">
        <v>21</v>
      </c>
      <c r="H819" t="s">
        <v>15</v>
      </c>
      <c r="I819">
        <v>0</v>
      </c>
      <c r="J819" t="s">
        <v>22</v>
      </c>
      <c r="K819" t="s">
        <v>32</v>
      </c>
      <c r="L819">
        <v>42</v>
      </c>
      <c r="M819" t="str">
        <f t="shared" si="13"/>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3">
      <c r="A821">
        <v>27505</v>
      </c>
      <c r="B821" t="s">
        <v>37</v>
      </c>
      <c r="C821" t="s">
        <v>42</v>
      </c>
      <c r="D821" s="3">
        <v>40000</v>
      </c>
      <c r="E821">
        <v>0</v>
      </c>
      <c r="F821" t="s">
        <v>27</v>
      </c>
      <c r="G821" t="s">
        <v>14</v>
      </c>
      <c r="H821" t="s">
        <v>15</v>
      </c>
      <c r="I821">
        <v>2</v>
      </c>
      <c r="J821" t="s">
        <v>23</v>
      </c>
      <c r="K821" t="s">
        <v>32</v>
      </c>
      <c r="L821">
        <v>30</v>
      </c>
      <c r="M821" t="str">
        <f t="shared" si="13"/>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3">
      <c r="A825">
        <v>23041</v>
      </c>
      <c r="B825" t="s">
        <v>37</v>
      </c>
      <c r="C825" t="s">
        <v>42</v>
      </c>
      <c r="D825" s="3">
        <v>70000</v>
      </c>
      <c r="E825">
        <v>4</v>
      </c>
      <c r="F825" t="s">
        <v>27</v>
      </c>
      <c r="G825" t="s">
        <v>21</v>
      </c>
      <c r="H825" t="s">
        <v>15</v>
      </c>
      <c r="I825">
        <v>0</v>
      </c>
      <c r="J825" t="s">
        <v>23</v>
      </c>
      <c r="K825" t="s">
        <v>32</v>
      </c>
      <c r="L825">
        <v>50</v>
      </c>
      <c r="M825" t="str">
        <f t="shared" si="13"/>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3">
      <c r="A829">
        <v>13911</v>
      </c>
      <c r="B829" t="s">
        <v>37</v>
      </c>
      <c r="C829" t="s">
        <v>42</v>
      </c>
      <c r="D829" s="3">
        <v>80000</v>
      </c>
      <c r="E829">
        <v>3</v>
      </c>
      <c r="F829" t="s">
        <v>13</v>
      </c>
      <c r="G829" t="s">
        <v>14</v>
      </c>
      <c r="H829" t="s">
        <v>15</v>
      </c>
      <c r="I829">
        <v>2</v>
      </c>
      <c r="J829" t="s">
        <v>22</v>
      </c>
      <c r="K829" t="s">
        <v>32</v>
      </c>
      <c r="L829">
        <v>41</v>
      </c>
      <c r="M829" t="str">
        <f t="shared" si="13"/>
        <v>middle age</v>
      </c>
      <c r="N829" t="s">
        <v>15</v>
      </c>
    </row>
    <row r="830" spans="1:14" x14ac:dyDescent="0.3">
      <c r="A830">
        <v>20421</v>
      </c>
      <c r="B830" t="s">
        <v>37</v>
      </c>
      <c r="C830" t="s">
        <v>42</v>
      </c>
      <c r="D830" s="3">
        <v>40000</v>
      </c>
      <c r="E830">
        <v>0</v>
      </c>
      <c r="F830" t="s">
        <v>29</v>
      </c>
      <c r="G830" t="s">
        <v>20</v>
      </c>
      <c r="H830" t="s">
        <v>15</v>
      </c>
      <c r="I830">
        <v>2</v>
      </c>
      <c r="J830" t="s">
        <v>23</v>
      </c>
      <c r="K830" t="s">
        <v>32</v>
      </c>
      <c r="L830">
        <v>26</v>
      </c>
      <c r="M830" t="str">
        <f t="shared" si="13"/>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3">
      <c r="A833">
        <v>19163</v>
      </c>
      <c r="B833" t="s">
        <v>36</v>
      </c>
      <c r="C833" t="s">
        <v>42</v>
      </c>
      <c r="D833" s="3">
        <v>70000</v>
      </c>
      <c r="E833">
        <v>4</v>
      </c>
      <c r="F833" t="s">
        <v>13</v>
      </c>
      <c r="G833" t="s">
        <v>21</v>
      </c>
      <c r="H833" t="s">
        <v>15</v>
      </c>
      <c r="I833">
        <v>2</v>
      </c>
      <c r="J833" t="s">
        <v>16</v>
      </c>
      <c r="K833" t="s">
        <v>32</v>
      </c>
      <c r="L833">
        <v>43</v>
      </c>
      <c r="M833" t="str">
        <f t="shared" si="13"/>
        <v>middle age</v>
      </c>
      <c r="N833" t="s">
        <v>15</v>
      </c>
    </row>
    <row r="834" spans="1:14" x14ac:dyDescent="0.3">
      <c r="A834">
        <v>18572</v>
      </c>
      <c r="B834" t="s">
        <v>36</v>
      </c>
      <c r="C834" t="s">
        <v>42</v>
      </c>
      <c r="D834" s="3">
        <v>60000</v>
      </c>
      <c r="E834">
        <v>0</v>
      </c>
      <c r="F834" t="s">
        <v>31</v>
      </c>
      <c r="G834" t="s">
        <v>21</v>
      </c>
      <c r="H834" t="s">
        <v>15</v>
      </c>
      <c r="I834">
        <v>0</v>
      </c>
      <c r="J834" t="s">
        <v>16</v>
      </c>
      <c r="K834" t="s">
        <v>32</v>
      </c>
      <c r="L834">
        <v>39</v>
      </c>
      <c r="M834" t="str">
        <f t="shared" si="13"/>
        <v>middle age</v>
      </c>
      <c r="N834" t="s">
        <v>18</v>
      </c>
    </row>
    <row r="835" spans="1:14" x14ac:dyDescent="0.3">
      <c r="A835">
        <v>27540</v>
      </c>
      <c r="B835" t="s">
        <v>37</v>
      </c>
      <c r="C835" t="s">
        <v>42</v>
      </c>
      <c r="D835" s="3">
        <v>70000</v>
      </c>
      <c r="E835">
        <v>0</v>
      </c>
      <c r="F835" t="s">
        <v>13</v>
      </c>
      <c r="G835" t="s">
        <v>21</v>
      </c>
      <c r="H835" t="s">
        <v>18</v>
      </c>
      <c r="I835">
        <v>1</v>
      </c>
      <c r="J835" t="s">
        <v>16</v>
      </c>
      <c r="K835" t="s">
        <v>32</v>
      </c>
      <c r="L835">
        <v>37</v>
      </c>
      <c r="M835" t="str">
        <f t="shared" ref="M835:M898" si="14">IF(L835&gt;=55,"old",IF(L835&gt;=31,"middle age",IF(L835&lt;31,"Adolescent","invalid")))</f>
        <v>middle age</v>
      </c>
      <c r="N835" t="s">
        <v>15</v>
      </c>
    </row>
    <row r="836" spans="1:14" x14ac:dyDescent="0.3">
      <c r="A836">
        <v>19889</v>
      </c>
      <c r="B836" t="s">
        <v>37</v>
      </c>
      <c r="C836" t="s">
        <v>42</v>
      </c>
      <c r="D836" s="3">
        <v>70000</v>
      </c>
      <c r="E836">
        <v>2</v>
      </c>
      <c r="F836" t="s">
        <v>29</v>
      </c>
      <c r="G836" t="s">
        <v>14</v>
      </c>
      <c r="H836" t="s">
        <v>18</v>
      </c>
      <c r="I836">
        <v>2</v>
      </c>
      <c r="J836" t="s">
        <v>22</v>
      </c>
      <c r="K836" t="s">
        <v>32</v>
      </c>
      <c r="L836">
        <v>54</v>
      </c>
      <c r="M836" t="str">
        <f t="shared" si="14"/>
        <v>middle age</v>
      </c>
      <c r="N836" t="s">
        <v>15</v>
      </c>
    </row>
    <row r="837" spans="1:14" x14ac:dyDescent="0.3">
      <c r="A837">
        <v>12922</v>
      </c>
      <c r="B837" t="s">
        <v>37</v>
      </c>
      <c r="C837" t="s">
        <v>42</v>
      </c>
      <c r="D837" s="3">
        <v>60000</v>
      </c>
      <c r="E837">
        <v>3</v>
      </c>
      <c r="F837" t="s">
        <v>13</v>
      </c>
      <c r="G837" t="s">
        <v>14</v>
      </c>
      <c r="H837" t="s">
        <v>15</v>
      </c>
      <c r="I837">
        <v>0</v>
      </c>
      <c r="J837" t="s">
        <v>22</v>
      </c>
      <c r="K837" t="s">
        <v>32</v>
      </c>
      <c r="L837">
        <v>40</v>
      </c>
      <c r="M837" t="str">
        <f t="shared" si="14"/>
        <v>middle age</v>
      </c>
      <c r="N837" t="s">
        <v>15</v>
      </c>
    </row>
    <row r="838" spans="1:14" x14ac:dyDescent="0.3">
      <c r="A838">
        <v>18891</v>
      </c>
      <c r="B838" t="s">
        <v>36</v>
      </c>
      <c r="C838" t="s">
        <v>42</v>
      </c>
      <c r="D838" s="3">
        <v>40000</v>
      </c>
      <c r="E838">
        <v>0</v>
      </c>
      <c r="F838" t="s">
        <v>19</v>
      </c>
      <c r="G838" t="s">
        <v>14</v>
      </c>
      <c r="H838" t="s">
        <v>15</v>
      </c>
      <c r="I838">
        <v>2</v>
      </c>
      <c r="J838" t="s">
        <v>23</v>
      </c>
      <c r="K838" t="s">
        <v>32</v>
      </c>
      <c r="L838">
        <v>28</v>
      </c>
      <c r="M838" t="str">
        <f t="shared" si="14"/>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3">
      <c r="A840">
        <v>19143</v>
      </c>
      <c r="B840" t="s">
        <v>37</v>
      </c>
      <c r="C840" t="s">
        <v>42</v>
      </c>
      <c r="D840" s="3">
        <v>80000</v>
      </c>
      <c r="E840">
        <v>3</v>
      </c>
      <c r="F840" t="s">
        <v>13</v>
      </c>
      <c r="G840" t="s">
        <v>14</v>
      </c>
      <c r="H840" t="s">
        <v>15</v>
      </c>
      <c r="I840">
        <v>2</v>
      </c>
      <c r="J840" t="s">
        <v>22</v>
      </c>
      <c r="K840" t="s">
        <v>32</v>
      </c>
      <c r="L840">
        <v>41</v>
      </c>
      <c r="M840" t="str">
        <f t="shared" si="14"/>
        <v>middle age</v>
      </c>
      <c r="N840" t="s">
        <v>15</v>
      </c>
    </row>
    <row r="841" spans="1:14" x14ac:dyDescent="0.3">
      <c r="A841">
        <v>23882</v>
      </c>
      <c r="B841" t="s">
        <v>37</v>
      </c>
      <c r="C841" t="s">
        <v>42</v>
      </c>
      <c r="D841" s="3">
        <v>80000</v>
      </c>
      <c r="E841">
        <v>3</v>
      </c>
      <c r="F841" t="s">
        <v>31</v>
      </c>
      <c r="G841" t="s">
        <v>21</v>
      </c>
      <c r="H841" t="s">
        <v>15</v>
      </c>
      <c r="I841">
        <v>0</v>
      </c>
      <c r="J841" t="s">
        <v>16</v>
      </c>
      <c r="K841" t="s">
        <v>32</v>
      </c>
      <c r="L841">
        <v>37</v>
      </c>
      <c r="M841" t="str">
        <f t="shared" si="14"/>
        <v>middle age</v>
      </c>
      <c r="N841" t="s">
        <v>15</v>
      </c>
    </row>
    <row r="842" spans="1:14" x14ac:dyDescent="0.3">
      <c r="A842">
        <v>11233</v>
      </c>
      <c r="B842" t="s">
        <v>36</v>
      </c>
      <c r="C842" t="s">
        <v>38</v>
      </c>
      <c r="D842" s="3">
        <v>70000</v>
      </c>
      <c r="E842">
        <v>4</v>
      </c>
      <c r="F842" t="s">
        <v>19</v>
      </c>
      <c r="G842" t="s">
        <v>21</v>
      </c>
      <c r="H842" t="s">
        <v>15</v>
      </c>
      <c r="I842">
        <v>2</v>
      </c>
      <c r="J842" t="s">
        <v>50</v>
      </c>
      <c r="K842" t="s">
        <v>32</v>
      </c>
      <c r="L842">
        <v>53</v>
      </c>
      <c r="M842" t="str">
        <f t="shared" si="14"/>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3">
      <c r="A844">
        <v>15555</v>
      </c>
      <c r="B844" t="s">
        <v>36</v>
      </c>
      <c r="C844" t="s">
        <v>42</v>
      </c>
      <c r="D844" s="3">
        <v>60000</v>
      </c>
      <c r="E844">
        <v>1</v>
      </c>
      <c r="F844" t="s">
        <v>19</v>
      </c>
      <c r="G844" t="s">
        <v>14</v>
      </c>
      <c r="H844" t="s">
        <v>15</v>
      </c>
      <c r="I844">
        <v>1</v>
      </c>
      <c r="J844" t="s">
        <v>22</v>
      </c>
      <c r="K844" t="s">
        <v>32</v>
      </c>
      <c r="L844">
        <v>45</v>
      </c>
      <c r="M844" t="str">
        <f t="shared" si="14"/>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3">
      <c r="A846">
        <v>22743</v>
      </c>
      <c r="B846" t="s">
        <v>36</v>
      </c>
      <c r="C846" t="s">
        <v>42</v>
      </c>
      <c r="D846" s="3">
        <v>40000</v>
      </c>
      <c r="E846">
        <v>5</v>
      </c>
      <c r="F846" t="s">
        <v>27</v>
      </c>
      <c r="G846" t="s">
        <v>21</v>
      </c>
      <c r="H846" t="s">
        <v>15</v>
      </c>
      <c r="I846">
        <v>2</v>
      </c>
      <c r="J846" t="s">
        <v>50</v>
      </c>
      <c r="K846" t="s">
        <v>32</v>
      </c>
      <c r="L846">
        <v>60</v>
      </c>
      <c r="M846" t="str">
        <f t="shared" si="14"/>
        <v>old</v>
      </c>
      <c r="N846" t="s">
        <v>18</v>
      </c>
    </row>
    <row r="847" spans="1:14" x14ac:dyDescent="0.3">
      <c r="A847">
        <v>25343</v>
      </c>
      <c r="B847" t="s">
        <v>37</v>
      </c>
      <c r="C847" t="s">
        <v>42</v>
      </c>
      <c r="D847" s="3">
        <v>20000</v>
      </c>
      <c r="E847">
        <v>3</v>
      </c>
      <c r="F847" t="s">
        <v>29</v>
      </c>
      <c r="G847" t="s">
        <v>20</v>
      </c>
      <c r="H847" t="s">
        <v>15</v>
      </c>
      <c r="I847">
        <v>2</v>
      </c>
      <c r="J847" t="s">
        <v>26</v>
      </c>
      <c r="K847" t="s">
        <v>32</v>
      </c>
      <c r="L847">
        <v>50</v>
      </c>
      <c r="M847" t="str">
        <f t="shared" si="14"/>
        <v>middle age</v>
      </c>
      <c r="N847" t="s">
        <v>18</v>
      </c>
    </row>
    <row r="848" spans="1:14" x14ac:dyDescent="0.3">
      <c r="A848">
        <v>13390</v>
      </c>
      <c r="B848" t="s">
        <v>36</v>
      </c>
      <c r="C848" t="s">
        <v>42</v>
      </c>
      <c r="D848" s="3">
        <v>70000</v>
      </c>
      <c r="E848">
        <v>4</v>
      </c>
      <c r="F848" t="s">
        <v>19</v>
      </c>
      <c r="G848" t="s">
        <v>21</v>
      </c>
      <c r="H848" t="s">
        <v>18</v>
      </c>
      <c r="I848">
        <v>1</v>
      </c>
      <c r="J848" t="s">
        <v>26</v>
      </c>
      <c r="K848" t="s">
        <v>32</v>
      </c>
      <c r="L848">
        <v>56</v>
      </c>
      <c r="M848" t="str">
        <f t="shared" si="14"/>
        <v>old</v>
      </c>
      <c r="N848" t="s">
        <v>18</v>
      </c>
    </row>
    <row r="849" spans="1:14" x14ac:dyDescent="0.3">
      <c r="A849">
        <v>17482</v>
      </c>
      <c r="B849" t="s">
        <v>37</v>
      </c>
      <c r="C849" t="s">
        <v>42</v>
      </c>
      <c r="D849" s="3">
        <v>40000</v>
      </c>
      <c r="E849">
        <v>0</v>
      </c>
      <c r="F849" t="s">
        <v>29</v>
      </c>
      <c r="G849" t="s">
        <v>20</v>
      </c>
      <c r="H849" t="s">
        <v>15</v>
      </c>
      <c r="I849">
        <v>2</v>
      </c>
      <c r="J849" t="s">
        <v>23</v>
      </c>
      <c r="K849" t="s">
        <v>32</v>
      </c>
      <c r="L849">
        <v>29</v>
      </c>
      <c r="M849" t="str">
        <f t="shared" si="14"/>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3">
      <c r="A851">
        <v>20504</v>
      </c>
      <c r="B851" t="s">
        <v>36</v>
      </c>
      <c r="C851" t="s">
        <v>42</v>
      </c>
      <c r="D851" s="3">
        <v>40000</v>
      </c>
      <c r="E851">
        <v>5</v>
      </c>
      <c r="F851" t="s">
        <v>27</v>
      </c>
      <c r="G851" t="s">
        <v>21</v>
      </c>
      <c r="H851" t="s">
        <v>18</v>
      </c>
      <c r="I851">
        <v>2</v>
      </c>
      <c r="J851" t="s">
        <v>22</v>
      </c>
      <c r="K851" t="s">
        <v>32</v>
      </c>
      <c r="L851">
        <v>60</v>
      </c>
      <c r="M851" t="str">
        <f t="shared" si="14"/>
        <v>old</v>
      </c>
      <c r="N851" t="s">
        <v>18</v>
      </c>
    </row>
    <row r="852" spans="1:14" x14ac:dyDescent="0.3">
      <c r="A852">
        <v>12205</v>
      </c>
      <c r="B852" t="s">
        <v>37</v>
      </c>
      <c r="C852" t="s">
        <v>42</v>
      </c>
      <c r="D852" s="3">
        <v>130000</v>
      </c>
      <c r="E852">
        <v>2</v>
      </c>
      <c r="F852" t="s">
        <v>13</v>
      </c>
      <c r="G852" t="s">
        <v>28</v>
      </c>
      <c r="H852" t="s">
        <v>18</v>
      </c>
      <c r="I852">
        <v>4</v>
      </c>
      <c r="J852" t="s">
        <v>16</v>
      </c>
      <c r="K852" t="s">
        <v>32</v>
      </c>
      <c r="L852">
        <v>67</v>
      </c>
      <c r="M852" t="str">
        <f t="shared" si="14"/>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3">
      <c r="A856">
        <v>17519</v>
      </c>
      <c r="B856" t="s">
        <v>36</v>
      </c>
      <c r="C856" t="s">
        <v>42</v>
      </c>
      <c r="D856" s="3">
        <v>60000</v>
      </c>
      <c r="E856">
        <v>0</v>
      </c>
      <c r="F856" t="s">
        <v>19</v>
      </c>
      <c r="G856" t="s">
        <v>21</v>
      </c>
      <c r="H856" t="s">
        <v>15</v>
      </c>
      <c r="I856">
        <v>2</v>
      </c>
      <c r="J856" t="s">
        <v>23</v>
      </c>
      <c r="K856" t="s">
        <v>32</v>
      </c>
      <c r="L856">
        <v>32</v>
      </c>
      <c r="M856" t="str">
        <f t="shared" si="14"/>
        <v>middle age</v>
      </c>
      <c r="N856" t="s">
        <v>18</v>
      </c>
    </row>
    <row r="857" spans="1:14" x14ac:dyDescent="0.3">
      <c r="A857">
        <v>18347</v>
      </c>
      <c r="B857" t="s">
        <v>37</v>
      </c>
      <c r="C857" t="s">
        <v>42</v>
      </c>
      <c r="D857" s="3">
        <v>30000</v>
      </c>
      <c r="E857">
        <v>0</v>
      </c>
      <c r="F857" t="s">
        <v>19</v>
      </c>
      <c r="G857" t="s">
        <v>14</v>
      </c>
      <c r="H857" t="s">
        <v>18</v>
      </c>
      <c r="I857">
        <v>1</v>
      </c>
      <c r="J857" t="s">
        <v>26</v>
      </c>
      <c r="K857" t="s">
        <v>32</v>
      </c>
      <c r="L857">
        <v>31</v>
      </c>
      <c r="M857" t="str">
        <f t="shared" si="14"/>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3">
      <c r="A859">
        <v>11745</v>
      </c>
      <c r="B859" t="s">
        <v>36</v>
      </c>
      <c r="C859" t="s">
        <v>42</v>
      </c>
      <c r="D859" s="3">
        <v>60000</v>
      </c>
      <c r="E859">
        <v>1</v>
      </c>
      <c r="F859" t="s">
        <v>13</v>
      </c>
      <c r="G859" t="s">
        <v>21</v>
      </c>
      <c r="H859" t="s">
        <v>15</v>
      </c>
      <c r="I859">
        <v>1</v>
      </c>
      <c r="J859" t="s">
        <v>16</v>
      </c>
      <c r="K859" t="s">
        <v>32</v>
      </c>
      <c r="L859">
        <v>47</v>
      </c>
      <c r="M859" t="str">
        <f t="shared" si="14"/>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3">
      <c r="A863">
        <v>13714</v>
      </c>
      <c r="B863" t="s">
        <v>36</v>
      </c>
      <c r="C863" t="s">
        <v>42</v>
      </c>
      <c r="D863" s="3">
        <v>20000</v>
      </c>
      <c r="E863">
        <v>2</v>
      </c>
      <c r="F863" t="s">
        <v>27</v>
      </c>
      <c r="G863" t="s">
        <v>25</v>
      </c>
      <c r="H863" t="s">
        <v>18</v>
      </c>
      <c r="I863">
        <v>2</v>
      </c>
      <c r="J863" t="s">
        <v>26</v>
      </c>
      <c r="K863" t="s">
        <v>32</v>
      </c>
      <c r="L863">
        <v>53</v>
      </c>
      <c r="M863" t="str">
        <f t="shared" si="14"/>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4"/>
        <v>middle age</v>
      </c>
      <c r="N866" t="s">
        <v>18</v>
      </c>
    </row>
    <row r="867" spans="1:14" x14ac:dyDescent="0.3">
      <c r="A867">
        <v>22046</v>
      </c>
      <c r="B867" t="s">
        <v>37</v>
      </c>
      <c r="C867" t="s">
        <v>42</v>
      </c>
      <c r="D867" s="3">
        <v>80000</v>
      </c>
      <c r="E867">
        <v>0</v>
      </c>
      <c r="F867" t="s">
        <v>13</v>
      </c>
      <c r="G867" t="s">
        <v>28</v>
      </c>
      <c r="H867" t="s">
        <v>18</v>
      </c>
      <c r="I867">
        <v>1</v>
      </c>
      <c r="J867" t="s">
        <v>16</v>
      </c>
      <c r="K867" t="s">
        <v>32</v>
      </c>
      <c r="L867">
        <v>38</v>
      </c>
      <c r="M867" t="str">
        <f t="shared" si="14"/>
        <v>middle age</v>
      </c>
      <c r="N867" t="s">
        <v>15</v>
      </c>
    </row>
    <row r="868" spans="1:14" x14ac:dyDescent="0.3">
      <c r="A868">
        <v>28052</v>
      </c>
      <c r="B868" t="s">
        <v>36</v>
      </c>
      <c r="C868" t="s">
        <v>38</v>
      </c>
      <c r="D868" s="3">
        <v>60000</v>
      </c>
      <c r="E868">
        <v>2</v>
      </c>
      <c r="F868" t="s">
        <v>27</v>
      </c>
      <c r="G868" t="s">
        <v>21</v>
      </c>
      <c r="H868" t="s">
        <v>15</v>
      </c>
      <c r="I868">
        <v>2</v>
      </c>
      <c r="J868" t="s">
        <v>50</v>
      </c>
      <c r="K868" t="s">
        <v>32</v>
      </c>
      <c r="L868">
        <v>55</v>
      </c>
      <c r="M868" t="str">
        <f t="shared" si="14"/>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3">
      <c r="A870">
        <v>24955</v>
      </c>
      <c r="B870" t="s">
        <v>37</v>
      </c>
      <c r="C870" t="s">
        <v>38</v>
      </c>
      <c r="D870" s="3">
        <v>30000</v>
      </c>
      <c r="E870">
        <v>5</v>
      </c>
      <c r="F870" t="s">
        <v>29</v>
      </c>
      <c r="G870" t="s">
        <v>14</v>
      </c>
      <c r="H870" t="s">
        <v>15</v>
      </c>
      <c r="I870">
        <v>3</v>
      </c>
      <c r="J870" t="s">
        <v>50</v>
      </c>
      <c r="K870" t="s">
        <v>32</v>
      </c>
      <c r="L870">
        <v>60</v>
      </c>
      <c r="M870" t="str">
        <f t="shared" si="14"/>
        <v>old</v>
      </c>
      <c r="N870" t="s">
        <v>15</v>
      </c>
    </row>
    <row r="871" spans="1:14" x14ac:dyDescent="0.3">
      <c r="A871">
        <v>26065</v>
      </c>
      <c r="B871" t="s">
        <v>37</v>
      </c>
      <c r="C871" t="s">
        <v>42</v>
      </c>
      <c r="D871" s="3">
        <v>110000</v>
      </c>
      <c r="E871">
        <v>3</v>
      </c>
      <c r="F871" t="s">
        <v>13</v>
      </c>
      <c r="G871" t="s">
        <v>28</v>
      </c>
      <c r="H871" t="s">
        <v>18</v>
      </c>
      <c r="I871">
        <v>4</v>
      </c>
      <c r="J871" t="s">
        <v>26</v>
      </c>
      <c r="K871" t="s">
        <v>32</v>
      </c>
      <c r="L871">
        <v>42</v>
      </c>
      <c r="M871" t="str">
        <f t="shared" si="14"/>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3">
      <c r="A873">
        <v>11219</v>
      </c>
      <c r="B873" t="s">
        <v>36</v>
      </c>
      <c r="C873" t="s">
        <v>38</v>
      </c>
      <c r="D873" s="3">
        <v>60000</v>
      </c>
      <c r="E873">
        <v>2</v>
      </c>
      <c r="F873" t="s">
        <v>27</v>
      </c>
      <c r="G873" t="s">
        <v>21</v>
      </c>
      <c r="H873" t="s">
        <v>15</v>
      </c>
      <c r="I873">
        <v>2</v>
      </c>
      <c r="J873" t="s">
        <v>50</v>
      </c>
      <c r="K873" t="s">
        <v>32</v>
      </c>
      <c r="L873">
        <v>55</v>
      </c>
      <c r="M873" t="str">
        <f t="shared" si="14"/>
        <v>old</v>
      </c>
      <c r="N873" t="s">
        <v>18</v>
      </c>
    </row>
    <row r="874" spans="1:14" x14ac:dyDescent="0.3">
      <c r="A874">
        <v>22118</v>
      </c>
      <c r="B874" t="s">
        <v>37</v>
      </c>
      <c r="C874" t="s">
        <v>42</v>
      </c>
      <c r="D874" s="3">
        <v>70000</v>
      </c>
      <c r="E874">
        <v>3</v>
      </c>
      <c r="F874" t="s">
        <v>31</v>
      </c>
      <c r="G874" t="s">
        <v>28</v>
      </c>
      <c r="H874" t="s">
        <v>15</v>
      </c>
      <c r="I874">
        <v>2</v>
      </c>
      <c r="J874" t="s">
        <v>23</v>
      </c>
      <c r="K874" t="s">
        <v>32</v>
      </c>
      <c r="L874">
        <v>53</v>
      </c>
      <c r="M874" t="str">
        <f t="shared" si="14"/>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3">
      <c r="A876">
        <v>14883</v>
      </c>
      <c r="B876" t="s">
        <v>36</v>
      </c>
      <c r="C876" t="s">
        <v>42</v>
      </c>
      <c r="D876" s="3">
        <v>30000</v>
      </c>
      <c r="E876">
        <v>1</v>
      </c>
      <c r="F876" t="s">
        <v>13</v>
      </c>
      <c r="G876" t="s">
        <v>14</v>
      </c>
      <c r="H876" t="s">
        <v>15</v>
      </c>
      <c r="I876">
        <v>1</v>
      </c>
      <c r="J876" t="s">
        <v>23</v>
      </c>
      <c r="K876" t="s">
        <v>32</v>
      </c>
      <c r="L876">
        <v>53</v>
      </c>
      <c r="M876" t="str">
        <f t="shared" si="14"/>
        <v>middle age</v>
      </c>
      <c r="N876" t="s">
        <v>15</v>
      </c>
    </row>
    <row r="877" spans="1:14" x14ac:dyDescent="0.3">
      <c r="A877">
        <v>27279</v>
      </c>
      <c r="B877" t="s">
        <v>37</v>
      </c>
      <c r="C877" t="s">
        <v>42</v>
      </c>
      <c r="D877" s="3">
        <v>70000</v>
      </c>
      <c r="E877">
        <v>2</v>
      </c>
      <c r="F877" t="s">
        <v>13</v>
      </c>
      <c r="G877" t="s">
        <v>14</v>
      </c>
      <c r="H877" t="s">
        <v>15</v>
      </c>
      <c r="I877">
        <v>0</v>
      </c>
      <c r="J877" t="s">
        <v>22</v>
      </c>
      <c r="K877" t="s">
        <v>32</v>
      </c>
      <c r="L877">
        <v>38</v>
      </c>
      <c r="M877" t="str">
        <f t="shared" si="14"/>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3">
      <c r="A883">
        <v>11275</v>
      </c>
      <c r="B883" t="s">
        <v>36</v>
      </c>
      <c r="C883" t="s">
        <v>42</v>
      </c>
      <c r="D883" s="3">
        <v>80000</v>
      </c>
      <c r="E883">
        <v>4</v>
      </c>
      <c r="F883" t="s">
        <v>31</v>
      </c>
      <c r="G883" t="s">
        <v>28</v>
      </c>
      <c r="H883" t="s">
        <v>15</v>
      </c>
      <c r="I883">
        <v>2</v>
      </c>
      <c r="J883" t="s">
        <v>16</v>
      </c>
      <c r="K883" t="s">
        <v>32</v>
      </c>
      <c r="L883">
        <v>72</v>
      </c>
      <c r="M883" t="str">
        <f t="shared" si="14"/>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3">
      <c r="A885">
        <v>16151</v>
      </c>
      <c r="B885" t="s">
        <v>36</v>
      </c>
      <c r="C885" t="s">
        <v>42</v>
      </c>
      <c r="D885" s="3">
        <v>60000</v>
      </c>
      <c r="E885">
        <v>1</v>
      </c>
      <c r="F885" t="s">
        <v>13</v>
      </c>
      <c r="G885" t="s">
        <v>21</v>
      </c>
      <c r="H885" t="s">
        <v>15</v>
      </c>
      <c r="I885">
        <v>1</v>
      </c>
      <c r="J885" t="s">
        <v>22</v>
      </c>
      <c r="K885" t="s">
        <v>32</v>
      </c>
      <c r="L885">
        <v>48</v>
      </c>
      <c r="M885" t="str">
        <f t="shared" si="14"/>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3">
      <c r="A887">
        <v>23801</v>
      </c>
      <c r="B887" t="s">
        <v>36</v>
      </c>
      <c r="C887" t="s">
        <v>42</v>
      </c>
      <c r="D887" s="3">
        <v>20000</v>
      </c>
      <c r="E887">
        <v>2</v>
      </c>
      <c r="F887" t="s">
        <v>29</v>
      </c>
      <c r="G887" t="s">
        <v>20</v>
      </c>
      <c r="H887" t="s">
        <v>15</v>
      </c>
      <c r="I887">
        <v>2</v>
      </c>
      <c r="J887" t="s">
        <v>16</v>
      </c>
      <c r="K887" t="s">
        <v>32</v>
      </c>
      <c r="L887">
        <v>49</v>
      </c>
      <c r="M887" t="str">
        <f t="shared" si="14"/>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3">
      <c r="A890">
        <v>26597</v>
      </c>
      <c r="B890" t="s">
        <v>37</v>
      </c>
      <c r="C890" t="s">
        <v>42</v>
      </c>
      <c r="D890" s="3">
        <v>60000</v>
      </c>
      <c r="E890">
        <v>4</v>
      </c>
      <c r="F890" t="s">
        <v>13</v>
      </c>
      <c r="G890" t="s">
        <v>14</v>
      </c>
      <c r="H890" t="s">
        <v>18</v>
      </c>
      <c r="I890">
        <v>2</v>
      </c>
      <c r="J890" t="s">
        <v>16</v>
      </c>
      <c r="K890" t="s">
        <v>32</v>
      </c>
      <c r="L890">
        <v>42</v>
      </c>
      <c r="M890" t="str">
        <f t="shared" si="14"/>
        <v>middle age</v>
      </c>
      <c r="N890" t="s">
        <v>18</v>
      </c>
    </row>
    <row r="891" spans="1:14" x14ac:dyDescent="0.3">
      <c r="A891">
        <v>27074</v>
      </c>
      <c r="B891" t="s">
        <v>36</v>
      </c>
      <c r="C891" t="s">
        <v>42</v>
      </c>
      <c r="D891" s="3">
        <v>70000</v>
      </c>
      <c r="E891">
        <v>1</v>
      </c>
      <c r="F891" t="s">
        <v>31</v>
      </c>
      <c r="G891" t="s">
        <v>14</v>
      </c>
      <c r="H891" t="s">
        <v>15</v>
      </c>
      <c r="I891">
        <v>0</v>
      </c>
      <c r="J891" t="s">
        <v>16</v>
      </c>
      <c r="K891" t="s">
        <v>32</v>
      </c>
      <c r="L891">
        <v>35</v>
      </c>
      <c r="M891" t="str">
        <f t="shared" si="14"/>
        <v>middle age</v>
      </c>
      <c r="N891" t="s">
        <v>15</v>
      </c>
    </row>
    <row r="892" spans="1:14" x14ac:dyDescent="0.3">
      <c r="A892">
        <v>19228</v>
      </c>
      <c r="B892" t="s">
        <v>36</v>
      </c>
      <c r="C892" t="s">
        <v>42</v>
      </c>
      <c r="D892" s="3">
        <v>40000</v>
      </c>
      <c r="E892">
        <v>2</v>
      </c>
      <c r="F892" t="s">
        <v>19</v>
      </c>
      <c r="G892" t="s">
        <v>20</v>
      </c>
      <c r="H892" t="s">
        <v>15</v>
      </c>
      <c r="I892">
        <v>1</v>
      </c>
      <c r="J892" t="s">
        <v>16</v>
      </c>
      <c r="K892" t="s">
        <v>32</v>
      </c>
      <c r="L892">
        <v>48</v>
      </c>
      <c r="M892" t="str">
        <f t="shared" si="14"/>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3">
      <c r="A894">
        <v>17000</v>
      </c>
      <c r="B894" t="s">
        <v>37</v>
      </c>
      <c r="C894" t="s">
        <v>42</v>
      </c>
      <c r="D894" s="3">
        <v>70000</v>
      </c>
      <c r="E894">
        <v>4</v>
      </c>
      <c r="F894" t="s">
        <v>13</v>
      </c>
      <c r="G894" t="s">
        <v>14</v>
      </c>
      <c r="H894" t="s">
        <v>15</v>
      </c>
      <c r="I894">
        <v>2</v>
      </c>
      <c r="J894" t="s">
        <v>22</v>
      </c>
      <c r="K894" t="s">
        <v>32</v>
      </c>
      <c r="L894">
        <v>43</v>
      </c>
      <c r="M894" t="str">
        <f t="shared" si="14"/>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3">
      <c r="A897">
        <v>20401</v>
      </c>
      <c r="B897" t="s">
        <v>36</v>
      </c>
      <c r="C897" t="s">
        <v>42</v>
      </c>
      <c r="D897" s="3">
        <v>50000</v>
      </c>
      <c r="E897">
        <v>4</v>
      </c>
      <c r="F897" t="s">
        <v>13</v>
      </c>
      <c r="G897" t="s">
        <v>28</v>
      </c>
      <c r="H897" t="s">
        <v>15</v>
      </c>
      <c r="I897">
        <v>2</v>
      </c>
      <c r="J897" t="s">
        <v>26</v>
      </c>
      <c r="K897" t="s">
        <v>32</v>
      </c>
      <c r="L897">
        <v>64</v>
      </c>
      <c r="M897" t="str">
        <f t="shared" si="14"/>
        <v>old</v>
      </c>
      <c r="N897" t="s">
        <v>15</v>
      </c>
    </row>
    <row r="898" spans="1:14" x14ac:dyDescent="0.3">
      <c r="A898">
        <v>21583</v>
      </c>
      <c r="B898" t="s">
        <v>36</v>
      </c>
      <c r="C898" t="s">
        <v>42</v>
      </c>
      <c r="D898" s="3">
        <v>50000</v>
      </c>
      <c r="E898">
        <v>1</v>
      </c>
      <c r="F898" t="s">
        <v>13</v>
      </c>
      <c r="G898" t="s">
        <v>14</v>
      </c>
      <c r="H898" t="s">
        <v>15</v>
      </c>
      <c r="I898">
        <v>0</v>
      </c>
      <c r="J898" t="s">
        <v>16</v>
      </c>
      <c r="K898" t="s">
        <v>32</v>
      </c>
      <c r="L898">
        <v>34</v>
      </c>
      <c r="M898" t="str">
        <f t="shared" si="14"/>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5">IF(L899&gt;=55,"old",IF(L899&gt;=31,"middle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50</v>
      </c>
      <c r="K900" t="s">
        <v>32</v>
      </c>
      <c r="L900">
        <v>60</v>
      </c>
      <c r="M900" t="str">
        <f t="shared" si="15"/>
        <v>old</v>
      </c>
      <c r="N900" t="s">
        <v>15</v>
      </c>
    </row>
    <row r="901" spans="1:14" x14ac:dyDescent="0.3">
      <c r="A901">
        <v>28192</v>
      </c>
      <c r="B901" t="s">
        <v>36</v>
      </c>
      <c r="C901" t="s">
        <v>42</v>
      </c>
      <c r="D901" s="3">
        <v>70000</v>
      </c>
      <c r="E901">
        <v>5</v>
      </c>
      <c r="F901" t="s">
        <v>31</v>
      </c>
      <c r="G901" t="s">
        <v>21</v>
      </c>
      <c r="H901" t="s">
        <v>15</v>
      </c>
      <c r="I901">
        <v>3</v>
      </c>
      <c r="J901" t="s">
        <v>50</v>
      </c>
      <c r="K901" t="s">
        <v>32</v>
      </c>
      <c r="L901">
        <v>46</v>
      </c>
      <c r="M901" t="str">
        <f t="shared" si="15"/>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3">
      <c r="A903">
        <v>18607</v>
      </c>
      <c r="B903" t="s">
        <v>37</v>
      </c>
      <c r="C903" t="s">
        <v>42</v>
      </c>
      <c r="D903" s="3">
        <v>60000</v>
      </c>
      <c r="E903">
        <v>4</v>
      </c>
      <c r="F903" t="s">
        <v>13</v>
      </c>
      <c r="G903" t="s">
        <v>14</v>
      </c>
      <c r="H903" t="s">
        <v>15</v>
      </c>
      <c r="I903">
        <v>2</v>
      </c>
      <c r="J903" t="s">
        <v>22</v>
      </c>
      <c r="K903" t="s">
        <v>32</v>
      </c>
      <c r="L903">
        <v>42</v>
      </c>
      <c r="M903" t="str">
        <f t="shared" si="15"/>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3">
      <c r="A906">
        <v>26305</v>
      </c>
      <c r="B906" t="s">
        <v>37</v>
      </c>
      <c r="C906" t="s">
        <v>42</v>
      </c>
      <c r="D906" s="3">
        <v>60000</v>
      </c>
      <c r="E906">
        <v>2</v>
      </c>
      <c r="F906" t="s">
        <v>13</v>
      </c>
      <c r="G906" t="s">
        <v>14</v>
      </c>
      <c r="H906" t="s">
        <v>18</v>
      </c>
      <c r="I906">
        <v>0</v>
      </c>
      <c r="J906" t="s">
        <v>16</v>
      </c>
      <c r="K906" t="s">
        <v>32</v>
      </c>
      <c r="L906">
        <v>36</v>
      </c>
      <c r="M906" t="str">
        <f t="shared" si="15"/>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3">
      <c r="A909">
        <v>19747</v>
      </c>
      <c r="B909" t="s">
        <v>36</v>
      </c>
      <c r="C909" t="s">
        <v>38</v>
      </c>
      <c r="D909" s="3">
        <v>50000</v>
      </c>
      <c r="E909">
        <v>4</v>
      </c>
      <c r="F909" t="s">
        <v>13</v>
      </c>
      <c r="G909" t="s">
        <v>28</v>
      </c>
      <c r="H909" t="s">
        <v>15</v>
      </c>
      <c r="I909">
        <v>2</v>
      </c>
      <c r="J909" t="s">
        <v>50</v>
      </c>
      <c r="K909" t="s">
        <v>32</v>
      </c>
      <c r="L909">
        <v>63</v>
      </c>
      <c r="M909" t="str">
        <f t="shared" si="15"/>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3">
      <c r="A913">
        <v>13337</v>
      </c>
      <c r="B913" t="s">
        <v>36</v>
      </c>
      <c r="C913" t="s">
        <v>42</v>
      </c>
      <c r="D913" s="3">
        <v>80000</v>
      </c>
      <c r="E913">
        <v>5</v>
      </c>
      <c r="F913" t="s">
        <v>13</v>
      </c>
      <c r="G913" t="s">
        <v>28</v>
      </c>
      <c r="H913" t="s">
        <v>15</v>
      </c>
      <c r="I913">
        <v>2</v>
      </c>
      <c r="J913" t="s">
        <v>23</v>
      </c>
      <c r="K913" t="s">
        <v>32</v>
      </c>
      <c r="L913">
        <v>64</v>
      </c>
      <c r="M913" t="str">
        <f t="shared" si="15"/>
        <v>old</v>
      </c>
      <c r="N913" t="s">
        <v>18</v>
      </c>
    </row>
    <row r="914" spans="1:14" x14ac:dyDescent="0.3">
      <c r="A914">
        <v>27190</v>
      </c>
      <c r="B914" t="s">
        <v>36</v>
      </c>
      <c r="C914" t="s">
        <v>42</v>
      </c>
      <c r="D914" s="3">
        <v>40000</v>
      </c>
      <c r="E914">
        <v>3</v>
      </c>
      <c r="F914" t="s">
        <v>19</v>
      </c>
      <c r="G914" t="s">
        <v>20</v>
      </c>
      <c r="H914" t="s">
        <v>15</v>
      </c>
      <c r="I914">
        <v>1</v>
      </c>
      <c r="J914" t="s">
        <v>26</v>
      </c>
      <c r="K914" t="s">
        <v>32</v>
      </c>
      <c r="L914">
        <v>32</v>
      </c>
      <c r="M914" t="str">
        <f t="shared" si="15"/>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3">
      <c r="A917">
        <v>21752</v>
      </c>
      <c r="B917" t="s">
        <v>36</v>
      </c>
      <c r="C917" t="s">
        <v>38</v>
      </c>
      <c r="D917" s="3">
        <v>60000</v>
      </c>
      <c r="E917">
        <v>3</v>
      </c>
      <c r="F917" t="s">
        <v>31</v>
      </c>
      <c r="G917" t="s">
        <v>28</v>
      </c>
      <c r="H917" t="s">
        <v>15</v>
      </c>
      <c r="I917">
        <v>2</v>
      </c>
      <c r="J917" t="s">
        <v>50</v>
      </c>
      <c r="K917" t="s">
        <v>32</v>
      </c>
      <c r="L917">
        <v>64</v>
      </c>
      <c r="M917" t="str">
        <f t="shared" si="15"/>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3">
      <c r="A920">
        <v>22042</v>
      </c>
      <c r="B920" t="s">
        <v>36</v>
      </c>
      <c r="C920" t="s">
        <v>42</v>
      </c>
      <c r="D920" s="3">
        <v>70000</v>
      </c>
      <c r="E920">
        <v>0</v>
      </c>
      <c r="F920" t="s">
        <v>19</v>
      </c>
      <c r="G920" t="s">
        <v>14</v>
      </c>
      <c r="H920" t="s">
        <v>15</v>
      </c>
      <c r="I920">
        <v>2</v>
      </c>
      <c r="J920" t="s">
        <v>23</v>
      </c>
      <c r="K920" t="s">
        <v>32</v>
      </c>
      <c r="L920">
        <v>34</v>
      </c>
      <c r="M920" t="str">
        <f t="shared" si="15"/>
        <v>middle age</v>
      </c>
      <c r="N920" t="s">
        <v>15</v>
      </c>
    </row>
    <row r="921" spans="1:14" x14ac:dyDescent="0.3">
      <c r="A921">
        <v>21451</v>
      </c>
      <c r="B921" t="s">
        <v>36</v>
      </c>
      <c r="C921" t="s">
        <v>42</v>
      </c>
      <c r="D921" s="3">
        <v>40000</v>
      </c>
      <c r="E921">
        <v>4</v>
      </c>
      <c r="F921" t="s">
        <v>27</v>
      </c>
      <c r="G921" t="s">
        <v>21</v>
      </c>
      <c r="H921" t="s">
        <v>15</v>
      </c>
      <c r="I921">
        <v>2</v>
      </c>
      <c r="J921" t="s">
        <v>50</v>
      </c>
      <c r="K921" t="s">
        <v>32</v>
      </c>
      <c r="L921">
        <v>61</v>
      </c>
      <c r="M921" t="str">
        <f t="shared" si="15"/>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3">
      <c r="A923">
        <v>12153</v>
      </c>
      <c r="B923" t="s">
        <v>37</v>
      </c>
      <c r="C923" t="s">
        <v>42</v>
      </c>
      <c r="D923" s="3">
        <v>70000</v>
      </c>
      <c r="E923">
        <v>3</v>
      </c>
      <c r="F923" t="s">
        <v>19</v>
      </c>
      <c r="G923" t="s">
        <v>21</v>
      </c>
      <c r="H923" t="s">
        <v>15</v>
      </c>
      <c r="I923">
        <v>1</v>
      </c>
      <c r="J923" t="s">
        <v>23</v>
      </c>
      <c r="K923" t="s">
        <v>32</v>
      </c>
      <c r="L923">
        <v>49</v>
      </c>
      <c r="M923" t="str">
        <f t="shared" si="15"/>
        <v>middle age</v>
      </c>
      <c r="N923" t="s">
        <v>15</v>
      </c>
    </row>
    <row r="924" spans="1:14" x14ac:dyDescent="0.3">
      <c r="A924">
        <v>16895</v>
      </c>
      <c r="B924" t="s">
        <v>36</v>
      </c>
      <c r="C924" t="s">
        <v>42</v>
      </c>
      <c r="D924" s="3">
        <v>40000</v>
      </c>
      <c r="E924">
        <v>3</v>
      </c>
      <c r="F924" t="s">
        <v>19</v>
      </c>
      <c r="G924" t="s">
        <v>21</v>
      </c>
      <c r="H924" t="s">
        <v>18</v>
      </c>
      <c r="I924">
        <v>2</v>
      </c>
      <c r="J924" t="s">
        <v>26</v>
      </c>
      <c r="K924" t="s">
        <v>32</v>
      </c>
      <c r="L924">
        <v>54</v>
      </c>
      <c r="M924" t="str">
        <f t="shared" si="15"/>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3">
      <c r="A927">
        <v>15862</v>
      </c>
      <c r="B927" t="s">
        <v>37</v>
      </c>
      <c r="C927" t="s">
        <v>42</v>
      </c>
      <c r="D927" s="3">
        <v>50000</v>
      </c>
      <c r="E927">
        <v>0</v>
      </c>
      <c r="F927" t="s">
        <v>31</v>
      </c>
      <c r="G927" t="s">
        <v>14</v>
      </c>
      <c r="H927" t="s">
        <v>15</v>
      </c>
      <c r="I927">
        <v>0</v>
      </c>
      <c r="J927" t="s">
        <v>26</v>
      </c>
      <c r="K927" t="s">
        <v>32</v>
      </c>
      <c r="L927">
        <v>33</v>
      </c>
      <c r="M927" t="str">
        <f t="shared" si="15"/>
        <v>middle age</v>
      </c>
      <c r="N927" t="s">
        <v>15</v>
      </c>
    </row>
    <row r="928" spans="1:14" x14ac:dyDescent="0.3">
      <c r="A928">
        <v>26495</v>
      </c>
      <c r="B928" t="s">
        <v>37</v>
      </c>
      <c r="C928" t="s">
        <v>42</v>
      </c>
      <c r="D928" s="3">
        <v>40000</v>
      </c>
      <c r="E928">
        <v>2</v>
      </c>
      <c r="F928" t="s">
        <v>27</v>
      </c>
      <c r="G928" t="s">
        <v>21</v>
      </c>
      <c r="H928" t="s">
        <v>15</v>
      </c>
      <c r="I928">
        <v>2</v>
      </c>
      <c r="J928" t="s">
        <v>50</v>
      </c>
      <c r="K928" t="s">
        <v>32</v>
      </c>
      <c r="L928">
        <v>57</v>
      </c>
      <c r="M928" t="str">
        <f t="shared" si="15"/>
        <v>old</v>
      </c>
      <c r="N928" t="s">
        <v>18</v>
      </c>
    </row>
    <row r="929" spans="1:14" x14ac:dyDescent="0.3">
      <c r="A929">
        <v>11823</v>
      </c>
      <c r="B929" t="s">
        <v>36</v>
      </c>
      <c r="C929" t="s">
        <v>42</v>
      </c>
      <c r="D929" s="3">
        <v>70000</v>
      </c>
      <c r="E929">
        <v>0</v>
      </c>
      <c r="F929" t="s">
        <v>31</v>
      </c>
      <c r="G929" t="s">
        <v>21</v>
      </c>
      <c r="H929" t="s">
        <v>15</v>
      </c>
      <c r="I929">
        <v>0</v>
      </c>
      <c r="J929" t="s">
        <v>22</v>
      </c>
      <c r="K929" t="s">
        <v>32</v>
      </c>
      <c r="L929">
        <v>39</v>
      </c>
      <c r="M929" t="str">
        <f t="shared" si="15"/>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3">
      <c r="A932">
        <v>19543</v>
      </c>
      <c r="B932" t="s">
        <v>36</v>
      </c>
      <c r="C932" t="s">
        <v>38</v>
      </c>
      <c r="D932" s="3">
        <v>70000</v>
      </c>
      <c r="E932">
        <v>5</v>
      </c>
      <c r="F932" t="s">
        <v>31</v>
      </c>
      <c r="G932" t="s">
        <v>21</v>
      </c>
      <c r="H932" t="s">
        <v>18</v>
      </c>
      <c r="I932">
        <v>3</v>
      </c>
      <c r="J932" t="s">
        <v>50</v>
      </c>
      <c r="K932" t="s">
        <v>32</v>
      </c>
      <c r="L932">
        <v>47</v>
      </c>
      <c r="M932" t="str">
        <f t="shared" si="15"/>
        <v>middle age</v>
      </c>
      <c r="N932" t="s">
        <v>18</v>
      </c>
    </row>
    <row r="933" spans="1:14" x14ac:dyDescent="0.3">
      <c r="A933">
        <v>14914</v>
      </c>
      <c r="B933" t="s">
        <v>36</v>
      </c>
      <c r="C933" t="s">
        <v>42</v>
      </c>
      <c r="D933" s="3">
        <v>40000</v>
      </c>
      <c r="E933">
        <v>1</v>
      </c>
      <c r="F933" t="s">
        <v>19</v>
      </c>
      <c r="G933" t="s">
        <v>20</v>
      </c>
      <c r="H933" t="s">
        <v>15</v>
      </c>
      <c r="I933">
        <v>1</v>
      </c>
      <c r="J933" t="s">
        <v>26</v>
      </c>
      <c r="K933" t="s">
        <v>32</v>
      </c>
      <c r="L933">
        <v>49</v>
      </c>
      <c r="M933" t="str">
        <f t="shared" si="15"/>
        <v>middle age</v>
      </c>
      <c r="N933" t="s">
        <v>15</v>
      </c>
    </row>
    <row r="934" spans="1:14" x14ac:dyDescent="0.3">
      <c r="A934">
        <v>12033</v>
      </c>
      <c r="B934" t="s">
        <v>37</v>
      </c>
      <c r="C934" t="s">
        <v>42</v>
      </c>
      <c r="D934" s="3">
        <v>40000</v>
      </c>
      <c r="E934">
        <v>0</v>
      </c>
      <c r="F934" t="s">
        <v>27</v>
      </c>
      <c r="G934" t="s">
        <v>14</v>
      </c>
      <c r="H934" t="s">
        <v>18</v>
      </c>
      <c r="I934">
        <v>2</v>
      </c>
      <c r="J934" t="s">
        <v>16</v>
      </c>
      <c r="K934" t="s">
        <v>32</v>
      </c>
      <c r="L934">
        <v>27</v>
      </c>
      <c r="M934" t="str">
        <f t="shared" si="15"/>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3">
      <c r="A937">
        <v>18050</v>
      </c>
      <c r="B937" t="s">
        <v>36</v>
      </c>
      <c r="C937" t="s">
        <v>42</v>
      </c>
      <c r="D937" s="3">
        <v>60000</v>
      </c>
      <c r="E937">
        <v>1</v>
      </c>
      <c r="F937" t="s">
        <v>19</v>
      </c>
      <c r="G937" t="s">
        <v>14</v>
      </c>
      <c r="H937" t="s">
        <v>15</v>
      </c>
      <c r="I937">
        <v>1</v>
      </c>
      <c r="J937" t="s">
        <v>16</v>
      </c>
      <c r="K937" t="s">
        <v>32</v>
      </c>
      <c r="L937">
        <v>45</v>
      </c>
      <c r="M937" t="str">
        <f t="shared" si="15"/>
        <v>middle age</v>
      </c>
      <c r="N937" t="s">
        <v>15</v>
      </c>
    </row>
    <row r="938" spans="1:14" x14ac:dyDescent="0.3">
      <c r="A938">
        <v>19856</v>
      </c>
      <c r="B938" t="s">
        <v>36</v>
      </c>
      <c r="C938" t="s">
        <v>42</v>
      </c>
      <c r="D938" s="3">
        <v>60000</v>
      </c>
      <c r="E938">
        <v>4</v>
      </c>
      <c r="F938" t="s">
        <v>13</v>
      </c>
      <c r="G938" t="s">
        <v>28</v>
      </c>
      <c r="H938" t="s">
        <v>15</v>
      </c>
      <c r="I938">
        <v>2</v>
      </c>
      <c r="J938" t="s">
        <v>22</v>
      </c>
      <c r="K938" t="s">
        <v>32</v>
      </c>
      <c r="L938">
        <v>60</v>
      </c>
      <c r="M938" t="str">
        <f t="shared" si="15"/>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3">
      <c r="A940">
        <v>27740</v>
      </c>
      <c r="B940" t="s">
        <v>36</v>
      </c>
      <c r="C940" t="s">
        <v>42</v>
      </c>
      <c r="D940" s="3">
        <v>40000</v>
      </c>
      <c r="E940">
        <v>0</v>
      </c>
      <c r="F940" t="s">
        <v>27</v>
      </c>
      <c r="G940" t="s">
        <v>14</v>
      </c>
      <c r="H940" t="s">
        <v>15</v>
      </c>
      <c r="I940">
        <v>2</v>
      </c>
      <c r="J940" t="s">
        <v>23</v>
      </c>
      <c r="K940" t="s">
        <v>32</v>
      </c>
      <c r="L940">
        <v>27</v>
      </c>
      <c r="M940" t="str">
        <f t="shared" si="15"/>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3">
      <c r="A942">
        <v>15292</v>
      </c>
      <c r="B942" t="s">
        <v>37</v>
      </c>
      <c r="C942" t="s">
        <v>42</v>
      </c>
      <c r="D942" s="3">
        <v>60000</v>
      </c>
      <c r="E942">
        <v>1</v>
      </c>
      <c r="F942" t="s">
        <v>31</v>
      </c>
      <c r="G942" t="s">
        <v>14</v>
      </c>
      <c r="H942" t="s">
        <v>15</v>
      </c>
      <c r="I942">
        <v>0</v>
      </c>
      <c r="J942" t="s">
        <v>26</v>
      </c>
      <c r="K942" t="s">
        <v>32</v>
      </c>
      <c r="L942">
        <v>35</v>
      </c>
      <c r="M942" t="str">
        <f t="shared" si="15"/>
        <v>middle age</v>
      </c>
      <c r="N942" t="s">
        <v>18</v>
      </c>
    </row>
    <row r="943" spans="1:14" x14ac:dyDescent="0.3">
      <c r="A943">
        <v>21587</v>
      </c>
      <c r="B943" t="s">
        <v>36</v>
      </c>
      <c r="C943" t="s">
        <v>42</v>
      </c>
      <c r="D943" s="3">
        <v>60000</v>
      </c>
      <c r="E943">
        <v>1</v>
      </c>
      <c r="F943" t="s">
        <v>31</v>
      </c>
      <c r="G943" t="s">
        <v>14</v>
      </c>
      <c r="H943" t="s">
        <v>15</v>
      </c>
      <c r="I943">
        <v>0</v>
      </c>
      <c r="J943" t="s">
        <v>22</v>
      </c>
      <c r="K943" t="s">
        <v>32</v>
      </c>
      <c r="L943">
        <v>34</v>
      </c>
      <c r="M943" t="str">
        <f t="shared" si="15"/>
        <v>middle age</v>
      </c>
      <c r="N943" t="s">
        <v>15</v>
      </c>
    </row>
    <row r="944" spans="1:14" x14ac:dyDescent="0.3">
      <c r="A944">
        <v>23513</v>
      </c>
      <c r="B944" t="s">
        <v>36</v>
      </c>
      <c r="C944" t="s">
        <v>42</v>
      </c>
      <c r="D944" s="3">
        <v>40000</v>
      </c>
      <c r="E944">
        <v>3</v>
      </c>
      <c r="F944" t="s">
        <v>19</v>
      </c>
      <c r="G944" t="s">
        <v>21</v>
      </c>
      <c r="H944" t="s">
        <v>15</v>
      </c>
      <c r="I944">
        <v>2</v>
      </c>
      <c r="J944" t="s">
        <v>23</v>
      </c>
      <c r="K944" t="s">
        <v>32</v>
      </c>
      <c r="L944">
        <v>54</v>
      </c>
      <c r="M944" t="str">
        <f t="shared" si="15"/>
        <v>middle age</v>
      </c>
      <c r="N944" t="s">
        <v>18</v>
      </c>
    </row>
    <row r="945" spans="1:14" x14ac:dyDescent="0.3">
      <c r="A945">
        <v>24322</v>
      </c>
      <c r="B945" t="s">
        <v>36</v>
      </c>
      <c r="C945" t="s">
        <v>42</v>
      </c>
      <c r="D945" s="3">
        <v>60000</v>
      </c>
      <c r="E945">
        <v>4</v>
      </c>
      <c r="F945" t="s">
        <v>13</v>
      </c>
      <c r="G945" t="s">
        <v>14</v>
      </c>
      <c r="H945" t="s">
        <v>18</v>
      </c>
      <c r="I945">
        <v>2</v>
      </c>
      <c r="J945" t="s">
        <v>16</v>
      </c>
      <c r="K945" t="s">
        <v>32</v>
      </c>
      <c r="L945">
        <v>42</v>
      </c>
      <c r="M945" t="str">
        <f t="shared" si="15"/>
        <v>middle age</v>
      </c>
      <c r="N945" t="s">
        <v>18</v>
      </c>
    </row>
    <row r="946" spans="1:14" x14ac:dyDescent="0.3">
      <c r="A946">
        <v>26298</v>
      </c>
      <c r="B946" t="s">
        <v>36</v>
      </c>
      <c r="C946" t="s">
        <v>42</v>
      </c>
      <c r="D946" s="3">
        <v>50000</v>
      </c>
      <c r="E946">
        <v>1</v>
      </c>
      <c r="F946" t="s">
        <v>13</v>
      </c>
      <c r="G946" t="s">
        <v>14</v>
      </c>
      <c r="H946" t="s">
        <v>15</v>
      </c>
      <c r="I946">
        <v>0</v>
      </c>
      <c r="J946" t="s">
        <v>22</v>
      </c>
      <c r="K946" t="s">
        <v>32</v>
      </c>
      <c r="L946">
        <v>34</v>
      </c>
      <c r="M946" t="str">
        <f t="shared" si="15"/>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3">
      <c r="A948">
        <v>13343</v>
      </c>
      <c r="B948" t="s">
        <v>36</v>
      </c>
      <c r="C948" t="s">
        <v>42</v>
      </c>
      <c r="D948" s="3">
        <v>90000</v>
      </c>
      <c r="E948">
        <v>5</v>
      </c>
      <c r="F948" t="s">
        <v>13</v>
      </c>
      <c r="G948" t="s">
        <v>28</v>
      </c>
      <c r="H948" t="s">
        <v>15</v>
      </c>
      <c r="I948">
        <v>2</v>
      </c>
      <c r="J948" t="s">
        <v>26</v>
      </c>
      <c r="K948" t="s">
        <v>32</v>
      </c>
      <c r="L948">
        <v>63</v>
      </c>
      <c r="M948" t="str">
        <f t="shared" si="15"/>
        <v>old</v>
      </c>
      <c r="N948" t="s">
        <v>15</v>
      </c>
    </row>
    <row r="949" spans="1:14" x14ac:dyDescent="0.3">
      <c r="A949">
        <v>11303</v>
      </c>
      <c r="B949" t="s">
        <v>37</v>
      </c>
      <c r="C949" t="s">
        <v>42</v>
      </c>
      <c r="D949" s="3">
        <v>90000</v>
      </c>
      <c r="E949">
        <v>4</v>
      </c>
      <c r="F949" t="s">
        <v>27</v>
      </c>
      <c r="G949" t="s">
        <v>21</v>
      </c>
      <c r="H949" t="s">
        <v>18</v>
      </c>
      <c r="I949">
        <v>3</v>
      </c>
      <c r="J949" t="s">
        <v>26</v>
      </c>
      <c r="K949" t="s">
        <v>32</v>
      </c>
      <c r="L949">
        <v>45</v>
      </c>
      <c r="M949" t="str">
        <f t="shared" si="15"/>
        <v>middle age</v>
      </c>
      <c r="N949" t="s">
        <v>15</v>
      </c>
    </row>
    <row r="950" spans="1:14" x14ac:dyDescent="0.3">
      <c r="A950">
        <v>21693</v>
      </c>
      <c r="B950" t="s">
        <v>37</v>
      </c>
      <c r="C950" t="s">
        <v>42</v>
      </c>
      <c r="D950" s="3">
        <v>60000</v>
      </c>
      <c r="E950">
        <v>0</v>
      </c>
      <c r="F950" t="s">
        <v>31</v>
      </c>
      <c r="G950" t="s">
        <v>14</v>
      </c>
      <c r="H950" t="s">
        <v>18</v>
      </c>
      <c r="I950">
        <v>0</v>
      </c>
      <c r="J950" t="s">
        <v>16</v>
      </c>
      <c r="K950" t="s">
        <v>32</v>
      </c>
      <c r="L950">
        <v>40</v>
      </c>
      <c r="M950" t="str">
        <f t="shared" si="15"/>
        <v>middle age</v>
      </c>
      <c r="N950" t="s">
        <v>18</v>
      </c>
    </row>
    <row r="951" spans="1:14" x14ac:dyDescent="0.3">
      <c r="A951">
        <v>28056</v>
      </c>
      <c r="B951" t="s">
        <v>36</v>
      </c>
      <c r="C951" t="s">
        <v>38</v>
      </c>
      <c r="D951" s="3">
        <v>70000</v>
      </c>
      <c r="E951">
        <v>2</v>
      </c>
      <c r="F951" t="s">
        <v>29</v>
      </c>
      <c r="G951" t="s">
        <v>14</v>
      </c>
      <c r="H951" t="s">
        <v>15</v>
      </c>
      <c r="I951">
        <v>2</v>
      </c>
      <c r="J951" t="s">
        <v>50</v>
      </c>
      <c r="K951" t="s">
        <v>32</v>
      </c>
      <c r="L951">
        <v>53</v>
      </c>
      <c r="M951" t="str">
        <f t="shared" si="15"/>
        <v>middle age</v>
      </c>
      <c r="N951" t="s">
        <v>18</v>
      </c>
    </row>
    <row r="952" spans="1:14" x14ac:dyDescent="0.3">
      <c r="A952">
        <v>11788</v>
      </c>
      <c r="B952" t="s">
        <v>37</v>
      </c>
      <c r="C952" t="s">
        <v>42</v>
      </c>
      <c r="D952" s="3">
        <v>70000</v>
      </c>
      <c r="E952">
        <v>1</v>
      </c>
      <c r="F952" t="s">
        <v>31</v>
      </c>
      <c r="G952" t="s">
        <v>21</v>
      </c>
      <c r="H952" t="s">
        <v>15</v>
      </c>
      <c r="I952">
        <v>0</v>
      </c>
      <c r="J952" t="s">
        <v>22</v>
      </c>
      <c r="K952" t="s">
        <v>32</v>
      </c>
      <c r="L952">
        <v>34</v>
      </c>
      <c r="M952" t="str">
        <f t="shared" si="15"/>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3">
      <c r="A954">
        <v>15319</v>
      </c>
      <c r="B954" t="s">
        <v>36</v>
      </c>
      <c r="C954" t="s">
        <v>42</v>
      </c>
      <c r="D954" s="3">
        <v>70000</v>
      </c>
      <c r="E954">
        <v>4</v>
      </c>
      <c r="F954" t="s">
        <v>13</v>
      </c>
      <c r="G954" t="s">
        <v>28</v>
      </c>
      <c r="H954" t="s">
        <v>18</v>
      </c>
      <c r="I954">
        <v>1</v>
      </c>
      <c r="J954" t="s">
        <v>26</v>
      </c>
      <c r="K954" t="s">
        <v>32</v>
      </c>
      <c r="L954">
        <v>59</v>
      </c>
      <c r="M954" t="str">
        <f t="shared" si="15"/>
        <v>old</v>
      </c>
      <c r="N954" t="s">
        <v>18</v>
      </c>
    </row>
    <row r="955" spans="1:14" x14ac:dyDescent="0.3">
      <c r="A955">
        <v>17654</v>
      </c>
      <c r="B955" t="s">
        <v>37</v>
      </c>
      <c r="C955" t="s">
        <v>42</v>
      </c>
      <c r="D955" s="3">
        <v>40000</v>
      </c>
      <c r="E955">
        <v>3</v>
      </c>
      <c r="F955" t="s">
        <v>19</v>
      </c>
      <c r="G955" t="s">
        <v>20</v>
      </c>
      <c r="H955" t="s">
        <v>15</v>
      </c>
      <c r="I955">
        <v>1</v>
      </c>
      <c r="J955" t="s">
        <v>26</v>
      </c>
      <c r="K955" t="s">
        <v>32</v>
      </c>
      <c r="L955">
        <v>30</v>
      </c>
      <c r="M955" t="str">
        <f t="shared" si="15"/>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3">
      <c r="A957">
        <v>17541</v>
      </c>
      <c r="B957" t="s">
        <v>36</v>
      </c>
      <c r="C957" t="s">
        <v>42</v>
      </c>
      <c r="D957" s="3">
        <v>40000</v>
      </c>
      <c r="E957">
        <v>4</v>
      </c>
      <c r="F957" t="s">
        <v>27</v>
      </c>
      <c r="G957" t="s">
        <v>14</v>
      </c>
      <c r="H957" t="s">
        <v>15</v>
      </c>
      <c r="I957">
        <v>2</v>
      </c>
      <c r="J957" t="s">
        <v>22</v>
      </c>
      <c r="K957" t="s">
        <v>32</v>
      </c>
      <c r="L957">
        <v>43</v>
      </c>
      <c r="M957" t="str">
        <f t="shared" si="15"/>
        <v>middle age</v>
      </c>
      <c r="N957" t="s">
        <v>18</v>
      </c>
    </row>
    <row r="958" spans="1:14" x14ac:dyDescent="0.3">
      <c r="A958">
        <v>13886</v>
      </c>
      <c r="B958" t="s">
        <v>36</v>
      </c>
      <c r="C958" t="s">
        <v>42</v>
      </c>
      <c r="D958" s="3">
        <v>70000</v>
      </c>
      <c r="E958">
        <v>4</v>
      </c>
      <c r="F958" t="s">
        <v>31</v>
      </c>
      <c r="G958" t="s">
        <v>21</v>
      </c>
      <c r="H958" t="s">
        <v>15</v>
      </c>
      <c r="I958">
        <v>0</v>
      </c>
      <c r="J958" t="s">
        <v>22</v>
      </c>
      <c r="K958" t="s">
        <v>32</v>
      </c>
      <c r="L958">
        <v>35</v>
      </c>
      <c r="M958" t="str">
        <f t="shared" si="15"/>
        <v>middle age</v>
      </c>
      <c r="N958" t="s">
        <v>15</v>
      </c>
    </row>
    <row r="959" spans="1:14" x14ac:dyDescent="0.3">
      <c r="A959">
        <v>13073</v>
      </c>
      <c r="B959" t="s">
        <v>36</v>
      </c>
      <c r="C959" t="s">
        <v>42</v>
      </c>
      <c r="D959" s="3">
        <v>60000</v>
      </c>
      <c r="E959">
        <v>0</v>
      </c>
      <c r="F959" t="s">
        <v>19</v>
      </c>
      <c r="G959" t="s">
        <v>21</v>
      </c>
      <c r="H959" t="s">
        <v>15</v>
      </c>
      <c r="I959">
        <v>2</v>
      </c>
      <c r="J959" t="s">
        <v>23</v>
      </c>
      <c r="K959" t="s">
        <v>32</v>
      </c>
      <c r="L959">
        <v>30</v>
      </c>
      <c r="M959" t="str">
        <f t="shared" si="15"/>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3">
      <c r="A963">
        <v>16651</v>
      </c>
      <c r="B963" t="s">
        <v>36</v>
      </c>
      <c r="C963" t="s">
        <v>42</v>
      </c>
      <c r="D963" s="3">
        <v>120000</v>
      </c>
      <c r="E963">
        <v>2</v>
      </c>
      <c r="F963" t="s">
        <v>13</v>
      </c>
      <c r="G963" t="s">
        <v>28</v>
      </c>
      <c r="H963" t="s">
        <v>15</v>
      </c>
      <c r="I963">
        <v>3</v>
      </c>
      <c r="J963" t="s">
        <v>23</v>
      </c>
      <c r="K963" t="s">
        <v>32</v>
      </c>
      <c r="L963">
        <v>62</v>
      </c>
      <c r="M963" t="str">
        <f t="shared" ref="M963:M1001" si="16">IF(L963&gt;=55,"old",IF(L963&gt;=31,"middle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50</v>
      </c>
      <c r="K964" t="s">
        <v>32</v>
      </c>
      <c r="L964">
        <v>55</v>
      </c>
      <c r="M964" t="str">
        <f t="shared" si="16"/>
        <v>old</v>
      </c>
      <c r="N964" t="s">
        <v>18</v>
      </c>
    </row>
    <row r="965" spans="1:14" x14ac:dyDescent="0.3">
      <c r="A965">
        <v>16007</v>
      </c>
      <c r="B965" t="s">
        <v>36</v>
      </c>
      <c r="C965" t="s">
        <v>42</v>
      </c>
      <c r="D965" s="3">
        <v>90000</v>
      </c>
      <c r="E965">
        <v>5</v>
      </c>
      <c r="F965" t="s">
        <v>13</v>
      </c>
      <c r="G965" t="s">
        <v>28</v>
      </c>
      <c r="H965" t="s">
        <v>15</v>
      </c>
      <c r="I965">
        <v>2</v>
      </c>
      <c r="J965" t="s">
        <v>26</v>
      </c>
      <c r="K965" t="s">
        <v>32</v>
      </c>
      <c r="L965">
        <v>66</v>
      </c>
      <c r="M965" t="str">
        <f t="shared" si="16"/>
        <v>old</v>
      </c>
      <c r="N965" t="s">
        <v>15</v>
      </c>
    </row>
    <row r="966" spans="1:14" x14ac:dyDescent="0.3">
      <c r="A966">
        <v>27434</v>
      </c>
      <c r="B966" t="s">
        <v>37</v>
      </c>
      <c r="C966" t="s">
        <v>38</v>
      </c>
      <c r="D966" s="3">
        <v>70000</v>
      </c>
      <c r="E966">
        <v>4</v>
      </c>
      <c r="F966" t="s">
        <v>19</v>
      </c>
      <c r="G966" t="s">
        <v>21</v>
      </c>
      <c r="H966" t="s">
        <v>15</v>
      </c>
      <c r="I966">
        <v>1</v>
      </c>
      <c r="J966" t="s">
        <v>50</v>
      </c>
      <c r="K966" t="s">
        <v>32</v>
      </c>
      <c r="L966">
        <v>56</v>
      </c>
      <c r="M966" t="str">
        <f t="shared" si="16"/>
        <v>old</v>
      </c>
      <c r="N966" t="s">
        <v>18</v>
      </c>
    </row>
    <row r="967" spans="1:14" x14ac:dyDescent="0.3">
      <c r="A967">
        <v>27756</v>
      </c>
      <c r="B967" t="s">
        <v>37</v>
      </c>
      <c r="C967" t="s">
        <v>42</v>
      </c>
      <c r="D967" s="3">
        <v>50000</v>
      </c>
      <c r="E967">
        <v>3</v>
      </c>
      <c r="F967" t="s">
        <v>13</v>
      </c>
      <c r="G967" t="s">
        <v>14</v>
      </c>
      <c r="H967" t="s">
        <v>18</v>
      </c>
      <c r="I967">
        <v>1</v>
      </c>
      <c r="J967" t="s">
        <v>16</v>
      </c>
      <c r="K967" t="s">
        <v>32</v>
      </c>
      <c r="L967">
        <v>40</v>
      </c>
      <c r="M967" t="str">
        <f t="shared" si="16"/>
        <v>middle age</v>
      </c>
      <c r="N967" t="s">
        <v>18</v>
      </c>
    </row>
    <row r="968" spans="1:14" x14ac:dyDescent="0.3">
      <c r="A968">
        <v>23818</v>
      </c>
      <c r="B968" t="s">
        <v>36</v>
      </c>
      <c r="C968" t="s">
        <v>42</v>
      </c>
      <c r="D968" s="3">
        <v>50000</v>
      </c>
      <c r="E968">
        <v>0</v>
      </c>
      <c r="F968" t="s">
        <v>31</v>
      </c>
      <c r="G968" t="s">
        <v>14</v>
      </c>
      <c r="H968" t="s">
        <v>15</v>
      </c>
      <c r="I968">
        <v>0</v>
      </c>
      <c r="J968" t="s">
        <v>26</v>
      </c>
      <c r="K968" t="s">
        <v>32</v>
      </c>
      <c r="L968">
        <v>33</v>
      </c>
      <c r="M968" t="str">
        <f t="shared" si="16"/>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3">
      <c r="A972">
        <v>26576</v>
      </c>
      <c r="B972" t="s">
        <v>36</v>
      </c>
      <c r="C972" t="s">
        <v>42</v>
      </c>
      <c r="D972" s="3">
        <v>60000</v>
      </c>
      <c r="E972">
        <v>0</v>
      </c>
      <c r="F972" t="s">
        <v>19</v>
      </c>
      <c r="G972" t="s">
        <v>14</v>
      </c>
      <c r="H972" t="s">
        <v>15</v>
      </c>
      <c r="I972">
        <v>2</v>
      </c>
      <c r="J972" t="s">
        <v>23</v>
      </c>
      <c r="K972" t="s">
        <v>32</v>
      </c>
      <c r="L972">
        <v>31</v>
      </c>
      <c r="M972" t="str">
        <f t="shared" si="16"/>
        <v>middle age</v>
      </c>
      <c r="N972" t="s">
        <v>18</v>
      </c>
    </row>
    <row r="973" spans="1:14" x14ac:dyDescent="0.3">
      <c r="A973">
        <v>12192</v>
      </c>
      <c r="B973" t="s">
        <v>37</v>
      </c>
      <c r="C973" t="s">
        <v>42</v>
      </c>
      <c r="D973" s="3">
        <v>60000</v>
      </c>
      <c r="E973">
        <v>2</v>
      </c>
      <c r="F973" t="s">
        <v>29</v>
      </c>
      <c r="G973" t="s">
        <v>14</v>
      </c>
      <c r="H973" t="s">
        <v>18</v>
      </c>
      <c r="I973">
        <v>2</v>
      </c>
      <c r="J973" t="s">
        <v>26</v>
      </c>
      <c r="K973" t="s">
        <v>32</v>
      </c>
      <c r="L973">
        <v>51</v>
      </c>
      <c r="M973" t="str">
        <f t="shared" si="16"/>
        <v>middle age</v>
      </c>
      <c r="N973" t="s">
        <v>18</v>
      </c>
    </row>
    <row r="974" spans="1:14" x14ac:dyDescent="0.3">
      <c r="A974">
        <v>14887</v>
      </c>
      <c r="B974" t="s">
        <v>36</v>
      </c>
      <c r="C974" t="s">
        <v>42</v>
      </c>
      <c r="D974" s="3">
        <v>30000</v>
      </c>
      <c r="E974">
        <v>1</v>
      </c>
      <c r="F974" t="s">
        <v>27</v>
      </c>
      <c r="G974" t="s">
        <v>20</v>
      </c>
      <c r="H974" t="s">
        <v>15</v>
      </c>
      <c r="I974">
        <v>1</v>
      </c>
      <c r="J974" t="s">
        <v>23</v>
      </c>
      <c r="K974" t="s">
        <v>32</v>
      </c>
      <c r="L974">
        <v>52</v>
      </c>
      <c r="M974" t="str">
        <f t="shared" si="16"/>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3">
      <c r="A978">
        <v>28004</v>
      </c>
      <c r="B978" t="s">
        <v>36</v>
      </c>
      <c r="C978" t="s">
        <v>42</v>
      </c>
      <c r="D978" s="3">
        <v>60000</v>
      </c>
      <c r="E978">
        <v>3</v>
      </c>
      <c r="F978" t="s">
        <v>13</v>
      </c>
      <c r="G978" t="s">
        <v>28</v>
      </c>
      <c r="H978" t="s">
        <v>15</v>
      </c>
      <c r="I978">
        <v>2</v>
      </c>
      <c r="J978" t="s">
        <v>50</v>
      </c>
      <c r="K978" t="s">
        <v>32</v>
      </c>
      <c r="L978">
        <v>66</v>
      </c>
      <c r="M978" t="str">
        <f t="shared" si="16"/>
        <v>old</v>
      </c>
      <c r="N978" t="s">
        <v>18</v>
      </c>
    </row>
    <row r="979" spans="1:14" x14ac:dyDescent="0.3">
      <c r="A979">
        <v>19741</v>
      </c>
      <c r="B979" t="s">
        <v>37</v>
      </c>
      <c r="C979" t="s">
        <v>42</v>
      </c>
      <c r="D979" s="3">
        <v>80000</v>
      </c>
      <c r="E979">
        <v>4</v>
      </c>
      <c r="F979" t="s">
        <v>31</v>
      </c>
      <c r="G979" t="s">
        <v>28</v>
      </c>
      <c r="H979" t="s">
        <v>15</v>
      </c>
      <c r="I979">
        <v>2</v>
      </c>
      <c r="J979" t="s">
        <v>23</v>
      </c>
      <c r="K979" t="s">
        <v>32</v>
      </c>
      <c r="L979">
        <v>65</v>
      </c>
      <c r="M979" t="str">
        <f t="shared" si="16"/>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6"/>
        <v>middle age</v>
      </c>
      <c r="N981" t="s">
        <v>18</v>
      </c>
    </row>
    <row r="982" spans="1:14" x14ac:dyDescent="0.3">
      <c r="A982">
        <v>18594</v>
      </c>
      <c r="B982" t="s">
        <v>37</v>
      </c>
      <c r="C982" t="s">
        <v>42</v>
      </c>
      <c r="D982" s="3">
        <v>80000</v>
      </c>
      <c r="E982">
        <v>3</v>
      </c>
      <c r="F982" t="s">
        <v>13</v>
      </c>
      <c r="G982" t="s">
        <v>14</v>
      </c>
      <c r="H982" t="s">
        <v>15</v>
      </c>
      <c r="I982">
        <v>3</v>
      </c>
      <c r="J982" t="s">
        <v>50</v>
      </c>
      <c r="K982" t="s">
        <v>32</v>
      </c>
      <c r="L982">
        <v>40</v>
      </c>
      <c r="M982" t="str">
        <f t="shared" si="16"/>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3">
      <c r="A987">
        <v>13920</v>
      </c>
      <c r="B987" t="s">
        <v>37</v>
      </c>
      <c r="C987" t="s">
        <v>42</v>
      </c>
      <c r="D987" s="3">
        <v>50000</v>
      </c>
      <c r="E987">
        <v>4</v>
      </c>
      <c r="F987" t="s">
        <v>13</v>
      </c>
      <c r="G987" t="s">
        <v>14</v>
      </c>
      <c r="H987" t="s">
        <v>15</v>
      </c>
      <c r="I987">
        <v>2</v>
      </c>
      <c r="J987" t="s">
        <v>16</v>
      </c>
      <c r="K987" t="s">
        <v>32</v>
      </c>
      <c r="L987">
        <v>42</v>
      </c>
      <c r="M987" t="str">
        <f t="shared" si="16"/>
        <v>middle age</v>
      </c>
      <c r="N987" t="s">
        <v>18</v>
      </c>
    </row>
    <row r="988" spans="1:14" x14ac:dyDescent="0.3">
      <c r="A988">
        <v>23704</v>
      </c>
      <c r="B988" t="s">
        <v>37</v>
      </c>
      <c r="C988" t="s">
        <v>38</v>
      </c>
      <c r="D988" s="3">
        <v>40000</v>
      </c>
      <c r="E988">
        <v>5</v>
      </c>
      <c r="F988" t="s">
        <v>27</v>
      </c>
      <c r="G988" t="s">
        <v>21</v>
      </c>
      <c r="H988" t="s">
        <v>15</v>
      </c>
      <c r="I988">
        <v>4</v>
      </c>
      <c r="J988" t="s">
        <v>50</v>
      </c>
      <c r="K988" t="s">
        <v>32</v>
      </c>
      <c r="L988">
        <v>60</v>
      </c>
      <c r="M988" t="str">
        <f t="shared" si="16"/>
        <v>old</v>
      </c>
      <c r="N988" t="s">
        <v>15</v>
      </c>
    </row>
    <row r="989" spans="1:14" x14ac:dyDescent="0.3">
      <c r="A989">
        <v>28972</v>
      </c>
      <c r="B989" t="s">
        <v>37</v>
      </c>
      <c r="C989" t="s">
        <v>42</v>
      </c>
      <c r="D989" s="3">
        <v>60000</v>
      </c>
      <c r="E989">
        <v>3</v>
      </c>
      <c r="F989" t="s">
        <v>31</v>
      </c>
      <c r="G989" t="s">
        <v>28</v>
      </c>
      <c r="H989" t="s">
        <v>15</v>
      </c>
      <c r="I989">
        <v>2</v>
      </c>
      <c r="J989" t="s">
        <v>50</v>
      </c>
      <c r="K989" t="s">
        <v>32</v>
      </c>
      <c r="L989">
        <v>66</v>
      </c>
      <c r="M989" t="str">
        <f t="shared" si="16"/>
        <v>old</v>
      </c>
      <c r="N989" t="s">
        <v>18</v>
      </c>
    </row>
    <row r="990" spans="1:14" x14ac:dyDescent="0.3">
      <c r="A990">
        <v>22730</v>
      </c>
      <c r="B990" t="s">
        <v>36</v>
      </c>
      <c r="C990" t="s">
        <v>38</v>
      </c>
      <c r="D990" s="3">
        <v>70000</v>
      </c>
      <c r="E990">
        <v>5</v>
      </c>
      <c r="F990" t="s">
        <v>13</v>
      </c>
      <c r="G990" t="s">
        <v>28</v>
      </c>
      <c r="H990" t="s">
        <v>15</v>
      </c>
      <c r="I990">
        <v>2</v>
      </c>
      <c r="J990" t="s">
        <v>50</v>
      </c>
      <c r="K990" t="s">
        <v>32</v>
      </c>
      <c r="L990">
        <v>63</v>
      </c>
      <c r="M990" t="str">
        <f t="shared" si="16"/>
        <v>old</v>
      </c>
      <c r="N990" t="s">
        <v>18</v>
      </c>
    </row>
    <row r="991" spans="1:14" x14ac:dyDescent="0.3">
      <c r="A991">
        <v>29134</v>
      </c>
      <c r="B991" t="s">
        <v>36</v>
      </c>
      <c r="C991" t="s">
        <v>38</v>
      </c>
      <c r="D991" s="3">
        <v>60000</v>
      </c>
      <c r="E991">
        <v>4</v>
      </c>
      <c r="F991" t="s">
        <v>13</v>
      </c>
      <c r="G991" t="s">
        <v>14</v>
      </c>
      <c r="H991" t="s">
        <v>18</v>
      </c>
      <c r="I991">
        <v>3</v>
      </c>
      <c r="J991" t="s">
        <v>50</v>
      </c>
      <c r="K991" t="s">
        <v>32</v>
      </c>
      <c r="L991">
        <v>42</v>
      </c>
      <c r="M991" t="str">
        <f t="shared" si="16"/>
        <v>middle age</v>
      </c>
      <c r="N991" t="s">
        <v>18</v>
      </c>
    </row>
    <row r="992" spans="1:14" x14ac:dyDescent="0.3">
      <c r="A992">
        <v>14332</v>
      </c>
      <c r="B992" t="s">
        <v>37</v>
      </c>
      <c r="C992" t="s">
        <v>42</v>
      </c>
      <c r="D992" s="3">
        <v>30000</v>
      </c>
      <c r="E992">
        <v>0</v>
      </c>
      <c r="F992" t="s">
        <v>27</v>
      </c>
      <c r="G992" t="s">
        <v>14</v>
      </c>
      <c r="H992" t="s">
        <v>18</v>
      </c>
      <c r="I992">
        <v>2</v>
      </c>
      <c r="J992" t="s">
        <v>23</v>
      </c>
      <c r="K992" t="s">
        <v>32</v>
      </c>
      <c r="L992">
        <v>26</v>
      </c>
      <c r="M992" t="str">
        <f t="shared" si="16"/>
        <v>Adolescent</v>
      </c>
      <c r="N992" t="s">
        <v>18</v>
      </c>
    </row>
    <row r="993" spans="1:14" x14ac:dyDescent="0.3">
      <c r="A993">
        <v>19117</v>
      </c>
      <c r="B993" t="s">
        <v>37</v>
      </c>
      <c r="C993" t="s">
        <v>42</v>
      </c>
      <c r="D993" s="3">
        <v>60000</v>
      </c>
      <c r="E993">
        <v>1</v>
      </c>
      <c r="F993" t="s">
        <v>31</v>
      </c>
      <c r="G993" t="s">
        <v>21</v>
      </c>
      <c r="H993" t="s">
        <v>15</v>
      </c>
      <c r="I993">
        <v>0</v>
      </c>
      <c r="J993" t="s">
        <v>22</v>
      </c>
      <c r="K993" t="s">
        <v>32</v>
      </c>
      <c r="L993">
        <v>36</v>
      </c>
      <c r="M993" t="str">
        <f t="shared" si="16"/>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
      <c r="A1001">
        <v>12121</v>
      </c>
      <c r="B1001" t="s">
        <v>37</v>
      </c>
      <c r="C1001" t="s">
        <v>38</v>
      </c>
      <c r="D1001" s="3">
        <v>60000</v>
      </c>
      <c r="E1001">
        <v>3</v>
      </c>
      <c r="F1001" t="s">
        <v>27</v>
      </c>
      <c r="G1001" t="s">
        <v>21</v>
      </c>
      <c r="H1001" t="s">
        <v>15</v>
      </c>
      <c r="I1001">
        <v>2</v>
      </c>
      <c r="J1001" t="s">
        <v>50</v>
      </c>
      <c r="K1001" t="s">
        <v>32</v>
      </c>
      <c r="L1001">
        <v>53</v>
      </c>
      <c r="M1001" t="str">
        <f t="shared" si="16"/>
        <v>middle age</v>
      </c>
      <c r="N1001" t="s">
        <v>15</v>
      </c>
    </row>
  </sheetData>
  <autoFilter ref="A1:N1001" xr:uid="{E7E256E2-6598-42DC-9843-20953E7DE8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2F4CD-B7E1-40E3-9623-EC9200F8DC0E}">
  <dimension ref="A1:O4"/>
  <sheetViews>
    <sheetView showGridLines="0" tabSelected="1" zoomScale="73" zoomScaleNormal="73" workbookViewId="0">
      <selection activeCell="B28" sqref="B28"/>
    </sheetView>
  </sheetViews>
  <sheetFormatPr defaultRowHeight="14.4" x14ac:dyDescent="0.3"/>
  <sheetData>
    <row r="1" spans="1:15" x14ac:dyDescent="0.3">
      <c r="A1" s="6" t="s">
        <v>51</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A87C4-BC89-4609-B34E-6077D7B0D9F4}">
  <dimension ref="A1:N367"/>
  <sheetViews>
    <sheetView workbookViewId="0">
      <selection activeCell="E14" sqref="E14"/>
    </sheetView>
  </sheetViews>
  <sheetFormatPr defaultRowHeight="14.4" x14ac:dyDescent="0.3"/>
  <cols>
    <col min="2" max="2" width="14.33203125" customWidth="1"/>
    <col min="3" max="3" width="9" customWidth="1"/>
    <col min="4" max="4" width="9.21875" customWidth="1"/>
    <col min="5" max="5" width="9.88671875" customWidth="1"/>
    <col min="6" max="6" width="11.33203125" customWidth="1"/>
    <col min="7" max="7" width="12.5546875" customWidth="1"/>
    <col min="8" max="8" width="13.88671875" customWidth="1"/>
    <col min="10" max="10" width="18.77734375" customWidth="1"/>
    <col min="13" max="13" width="12.88671875" customWidth="1"/>
    <col min="14" max="14" width="15.6640625" customWidth="1"/>
  </cols>
  <sheetData>
    <row r="1" spans="1:14" x14ac:dyDescent="0.3">
      <c r="A1" t="s">
        <v>0</v>
      </c>
      <c r="B1" t="s">
        <v>43</v>
      </c>
      <c r="C1" t="s">
        <v>2</v>
      </c>
      <c r="D1" t="s">
        <v>3</v>
      </c>
      <c r="E1" t="s">
        <v>4</v>
      </c>
      <c r="F1" t="s">
        <v>5</v>
      </c>
      <c r="G1" t="s">
        <v>6</v>
      </c>
      <c r="H1" t="s">
        <v>7</v>
      </c>
      <c r="I1" t="s">
        <v>8</v>
      </c>
      <c r="J1" t="s">
        <v>9</v>
      </c>
      <c r="K1" t="s">
        <v>10</v>
      </c>
      <c r="L1" t="s">
        <v>11</v>
      </c>
      <c r="M1" t="s">
        <v>39</v>
      </c>
      <c r="N1" t="s">
        <v>12</v>
      </c>
    </row>
    <row r="2" spans="1:14" x14ac:dyDescent="0.3">
      <c r="A2">
        <v>12496</v>
      </c>
      <c r="B2" t="s">
        <v>36</v>
      </c>
      <c r="C2" t="s">
        <v>42</v>
      </c>
      <c r="D2">
        <v>40000</v>
      </c>
      <c r="E2">
        <v>1</v>
      </c>
      <c r="F2" t="s">
        <v>13</v>
      </c>
      <c r="G2" t="s">
        <v>14</v>
      </c>
      <c r="H2" t="s">
        <v>15</v>
      </c>
      <c r="I2">
        <v>0</v>
      </c>
      <c r="J2" t="s">
        <v>16</v>
      </c>
      <c r="K2" t="s">
        <v>17</v>
      </c>
      <c r="L2">
        <v>42</v>
      </c>
      <c r="M2" t="s">
        <v>47</v>
      </c>
      <c r="N2" t="s">
        <v>18</v>
      </c>
    </row>
    <row r="3" spans="1:14" x14ac:dyDescent="0.3">
      <c r="A3">
        <v>24107</v>
      </c>
      <c r="B3" t="s">
        <v>36</v>
      </c>
      <c r="C3" t="s">
        <v>38</v>
      </c>
      <c r="D3">
        <v>30000</v>
      </c>
      <c r="E3">
        <v>3</v>
      </c>
      <c r="F3" t="s">
        <v>19</v>
      </c>
      <c r="G3" t="s">
        <v>20</v>
      </c>
      <c r="H3" t="s">
        <v>15</v>
      </c>
      <c r="I3">
        <v>1</v>
      </c>
      <c r="J3" t="s">
        <v>16</v>
      </c>
      <c r="K3" t="s">
        <v>17</v>
      </c>
      <c r="L3">
        <v>43</v>
      </c>
      <c r="M3" t="s">
        <v>47</v>
      </c>
      <c r="N3" t="s">
        <v>18</v>
      </c>
    </row>
    <row r="4" spans="1:14" x14ac:dyDescent="0.3">
      <c r="A4">
        <v>11809</v>
      </c>
      <c r="B4" t="s">
        <v>36</v>
      </c>
      <c r="C4" t="s">
        <v>38</v>
      </c>
      <c r="D4">
        <v>60000</v>
      </c>
      <c r="E4">
        <v>2</v>
      </c>
      <c r="F4" t="s">
        <v>13</v>
      </c>
      <c r="G4" t="s">
        <v>14</v>
      </c>
      <c r="H4" t="s">
        <v>15</v>
      </c>
      <c r="I4">
        <v>0</v>
      </c>
      <c r="J4" t="s">
        <v>16</v>
      </c>
      <c r="K4" t="s">
        <v>32</v>
      </c>
      <c r="L4">
        <v>38</v>
      </c>
      <c r="M4" t="s">
        <v>47</v>
      </c>
      <c r="N4" t="s">
        <v>15</v>
      </c>
    </row>
    <row r="5" spans="1:14" x14ac:dyDescent="0.3">
      <c r="A5">
        <v>11292</v>
      </c>
      <c r="B5" t="s">
        <v>37</v>
      </c>
      <c r="C5" t="s">
        <v>38</v>
      </c>
      <c r="D5">
        <v>150000</v>
      </c>
      <c r="E5">
        <v>1</v>
      </c>
      <c r="F5" t="s">
        <v>19</v>
      </c>
      <c r="G5" t="s">
        <v>21</v>
      </c>
      <c r="H5" t="s">
        <v>18</v>
      </c>
      <c r="I5">
        <v>3</v>
      </c>
      <c r="J5" t="s">
        <v>16</v>
      </c>
      <c r="K5" t="s">
        <v>32</v>
      </c>
      <c r="L5">
        <v>44</v>
      </c>
      <c r="M5" t="s">
        <v>47</v>
      </c>
      <c r="N5" t="s">
        <v>15</v>
      </c>
    </row>
    <row r="6" spans="1:14" x14ac:dyDescent="0.3">
      <c r="A6">
        <v>25597</v>
      </c>
      <c r="B6" t="s">
        <v>37</v>
      </c>
      <c r="C6" t="s">
        <v>38</v>
      </c>
      <c r="D6">
        <v>30000</v>
      </c>
      <c r="E6">
        <v>0</v>
      </c>
      <c r="F6" t="s">
        <v>13</v>
      </c>
      <c r="G6" t="s">
        <v>20</v>
      </c>
      <c r="H6" t="s">
        <v>18</v>
      </c>
      <c r="I6">
        <v>0</v>
      </c>
      <c r="J6" t="s">
        <v>16</v>
      </c>
      <c r="K6" t="s">
        <v>17</v>
      </c>
      <c r="L6">
        <v>36</v>
      </c>
      <c r="M6" t="s">
        <v>47</v>
      </c>
      <c r="N6" t="s">
        <v>15</v>
      </c>
    </row>
    <row r="7" spans="1:14" x14ac:dyDescent="0.3">
      <c r="A7">
        <v>13920</v>
      </c>
      <c r="B7" t="s">
        <v>37</v>
      </c>
      <c r="C7" t="s">
        <v>42</v>
      </c>
      <c r="D7">
        <v>50000</v>
      </c>
      <c r="E7">
        <v>4</v>
      </c>
      <c r="F7" t="s">
        <v>13</v>
      </c>
      <c r="G7" t="s">
        <v>14</v>
      </c>
      <c r="H7" t="s">
        <v>15</v>
      </c>
      <c r="I7">
        <v>2</v>
      </c>
      <c r="J7" t="s">
        <v>16</v>
      </c>
      <c r="K7" t="s">
        <v>32</v>
      </c>
      <c r="L7">
        <v>42</v>
      </c>
      <c r="M7" t="s">
        <v>47</v>
      </c>
      <c r="N7" t="s">
        <v>18</v>
      </c>
    </row>
    <row r="8" spans="1:14" x14ac:dyDescent="0.3">
      <c r="A8">
        <v>27974</v>
      </c>
      <c r="B8" t="s">
        <v>37</v>
      </c>
      <c r="C8" t="s">
        <v>38</v>
      </c>
      <c r="D8">
        <v>160000</v>
      </c>
      <c r="E8">
        <v>2</v>
      </c>
      <c r="F8" t="s">
        <v>27</v>
      </c>
      <c r="G8" t="s">
        <v>28</v>
      </c>
      <c r="H8" t="s">
        <v>15</v>
      </c>
      <c r="I8">
        <v>4</v>
      </c>
      <c r="J8" t="s">
        <v>16</v>
      </c>
      <c r="K8" t="s">
        <v>24</v>
      </c>
      <c r="L8">
        <v>33</v>
      </c>
      <c r="M8" t="s">
        <v>47</v>
      </c>
      <c r="N8" t="s">
        <v>15</v>
      </c>
    </row>
    <row r="9" spans="1:14" x14ac:dyDescent="0.3">
      <c r="A9">
        <v>19364</v>
      </c>
      <c r="B9" t="s">
        <v>36</v>
      </c>
      <c r="C9" t="s">
        <v>38</v>
      </c>
      <c r="D9">
        <v>40000</v>
      </c>
      <c r="E9">
        <v>1</v>
      </c>
      <c r="F9" t="s">
        <v>13</v>
      </c>
      <c r="G9" t="s">
        <v>14</v>
      </c>
      <c r="H9" t="s">
        <v>15</v>
      </c>
      <c r="I9">
        <v>0</v>
      </c>
      <c r="J9" t="s">
        <v>16</v>
      </c>
      <c r="K9" t="s">
        <v>17</v>
      </c>
      <c r="L9">
        <v>43</v>
      </c>
      <c r="M9" t="s">
        <v>47</v>
      </c>
      <c r="N9" t="s">
        <v>15</v>
      </c>
    </row>
    <row r="10" spans="1:14" x14ac:dyDescent="0.3">
      <c r="A10">
        <v>11269</v>
      </c>
      <c r="B10" t="s">
        <v>36</v>
      </c>
      <c r="C10" t="s">
        <v>38</v>
      </c>
      <c r="D10">
        <v>130000</v>
      </c>
      <c r="E10">
        <v>2</v>
      </c>
      <c r="F10" t="s">
        <v>31</v>
      </c>
      <c r="G10" t="s">
        <v>28</v>
      </c>
      <c r="H10" t="s">
        <v>15</v>
      </c>
      <c r="I10">
        <v>2</v>
      </c>
      <c r="J10" t="s">
        <v>16</v>
      </c>
      <c r="K10" t="s">
        <v>32</v>
      </c>
      <c r="L10">
        <v>41</v>
      </c>
      <c r="M10" t="s">
        <v>47</v>
      </c>
      <c r="N10" t="s">
        <v>18</v>
      </c>
    </row>
    <row r="11" spans="1:14" x14ac:dyDescent="0.3">
      <c r="A11">
        <v>19280</v>
      </c>
      <c r="B11" t="s">
        <v>36</v>
      </c>
      <c r="C11" t="s">
        <v>38</v>
      </c>
      <c r="D11">
        <v>120000</v>
      </c>
      <c r="E11">
        <v>2</v>
      </c>
      <c r="F11" t="s">
        <v>19</v>
      </c>
      <c r="G11" t="s">
        <v>25</v>
      </c>
      <c r="H11" t="s">
        <v>15</v>
      </c>
      <c r="I11">
        <v>1</v>
      </c>
      <c r="J11" t="s">
        <v>16</v>
      </c>
      <c r="K11" t="s">
        <v>17</v>
      </c>
      <c r="L11">
        <v>40</v>
      </c>
      <c r="M11" t="s">
        <v>47</v>
      </c>
      <c r="N11" t="s">
        <v>15</v>
      </c>
    </row>
    <row r="12" spans="1:14" x14ac:dyDescent="0.3">
      <c r="A12">
        <v>20659</v>
      </c>
      <c r="B12" t="s">
        <v>36</v>
      </c>
      <c r="C12" t="s">
        <v>38</v>
      </c>
      <c r="D12">
        <v>70000</v>
      </c>
      <c r="E12">
        <v>3</v>
      </c>
      <c r="F12" t="s">
        <v>31</v>
      </c>
      <c r="G12" t="s">
        <v>21</v>
      </c>
      <c r="H12" t="s">
        <v>15</v>
      </c>
      <c r="I12">
        <v>0</v>
      </c>
      <c r="J12" t="s">
        <v>16</v>
      </c>
      <c r="K12" t="s">
        <v>32</v>
      </c>
      <c r="L12">
        <v>35</v>
      </c>
      <c r="M12" t="s">
        <v>47</v>
      </c>
      <c r="N12" t="s">
        <v>15</v>
      </c>
    </row>
    <row r="13" spans="1:14" x14ac:dyDescent="0.3">
      <c r="A13">
        <v>11734</v>
      </c>
      <c r="B13" t="s">
        <v>36</v>
      </c>
      <c r="C13" t="s">
        <v>38</v>
      </c>
      <c r="D13">
        <v>60000</v>
      </c>
      <c r="E13">
        <v>1</v>
      </c>
      <c r="F13" t="s">
        <v>19</v>
      </c>
      <c r="G13" t="s">
        <v>14</v>
      </c>
      <c r="H13" t="s">
        <v>18</v>
      </c>
      <c r="I13">
        <v>1</v>
      </c>
      <c r="J13" t="s">
        <v>16</v>
      </c>
      <c r="K13" t="s">
        <v>32</v>
      </c>
      <c r="L13">
        <v>47</v>
      </c>
      <c r="M13" t="s">
        <v>47</v>
      </c>
      <c r="N13" t="s">
        <v>18</v>
      </c>
    </row>
    <row r="14" spans="1:14" x14ac:dyDescent="0.3">
      <c r="A14">
        <v>11434</v>
      </c>
      <c r="B14" t="s">
        <v>36</v>
      </c>
      <c r="C14" t="s">
        <v>38</v>
      </c>
      <c r="D14">
        <v>170000</v>
      </c>
      <c r="E14">
        <v>5</v>
      </c>
      <c r="F14" t="s">
        <v>19</v>
      </c>
      <c r="G14" t="s">
        <v>21</v>
      </c>
      <c r="H14" t="s">
        <v>15</v>
      </c>
      <c r="I14">
        <v>0</v>
      </c>
      <c r="J14" t="s">
        <v>16</v>
      </c>
      <c r="K14" t="s">
        <v>17</v>
      </c>
      <c r="L14">
        <v>55</v>
      </c>
      <c r="M14" t="s">
        <v>47</v>
      </c>
      <c r="N14" t="s">
        <v>18</v>
      </c>
    </row>
    <row r="15" spans="1:14" x14ac:dyDescent="0.3">
      <c r="A15">
        <v>29037</v>
      </c>
      <c r="B15" t="s">
        <v>36</v>
      </c>
      <c r="C15" t="s">
        <v>38</v>
      </c>
      <c r="D15">
        <v>60000</v>
      </c>
      <c r="E15">
        <v>0</v>
      </c>
      <c r="F15" t="s">
        <v>31</v>
      </c>
      <c r="G15" t="s">
        <v>21</v>
      </c>
      <c r="H15" t="s">
        <v>18</v>
      </c>
      <c r="I15">
        <v>0</v>
      </c>
      <c r="J15" t="s">
        <v>16</v>
      </c>
      <c r="K15" t="s">
        <v>32</v>
      </c>
      <c r="L15">
        <v>39</v>
      </c>
      <c r="M15" t="s">
        <v>47</v>
      </c>
      <c r="N15" t="s">
        <v>18</v>
      </c>
    </row>
    <row r="16" spans="1:14" x14ac:dyDescent="0.3">
      <c r="A16">
        <v>23542</v>
      </c>
      <c r="B16" t="s">
        <v>37</v>
      </c>
      <c r="C16" t="s">
        <v>38</v>
      </c>
      <c r="D16">
        <v>60000</v>
      </c>
      <c r="E16">
        <v>1</v>
      </c>
      <c r="F16" t="s">
        <v>19</v>
      </c>
      <c r="G16" t="s">
        <v>14</v>
      </c>
      <c r="H16" t="s">
        <v>18</v>
      </c>
      <c r="I16">
        <v>1</v>
      </c>
      <c r="J16" t="s">
        <v>16</v>
      </c>
      <c r="K16" t="s">
        <v>24</v>
      </c>
      <c r="L16">
        <v>45</v>
      </c>
      <c r="M16" t="s">
        <v>47</v>
      </c>
      <c r="N16" t="s">
        <v>15</v>
      </c>
    </row>
    <row r="17" spans="1:14" x14ac:dyDescent="0.3">
      <c r="A17">
        <v>20870</v>
      </c>
      <c r="B17" t="s">
        <v>37</v>
      </c>
      <c r="C17" t="s">
        <v>42</v>
      </c>
      <c r="D17">
        <v>10000</v>
      </c>
      <c r="E17">
        <v>2</v>
      </c>
      <c r="F17" t="s">
        <v>27</v>
      </c>
      <c r="G17" t="s">
        <v>25</v>
      </c>
      <c r="H17" t="s">
        <v>15</v>
      </c>
      <c r="I17">
        <v>1</v>
      </c>
      <c r="J17" t="s">
        <v>16</v>
      </c>
      <c r="K17" t="s">
        <v>17</v>
      </c>
      <c r="L17">
        <v>38</v>
      </c>
      <c r="M17" t="s">
        <v>47</v>
      </c>
      <c r="N17" t="s">
        <v>15</v>
      </c>
    </row>
    <row r="18" spans="1:14" x14ac:dyDescent="0.3">
      <c r="A18">
        <v>27756</v>
      </c>
      <c r="B18" t="s">
        <v>37</v>
      </c>
      <c r="C18" t="s">
        <v>42</v>
      </c>
      <c r="D18">
        <v>50000</v>
      </c>
      <c r="E18">
        <v>3</v>
      </c>
      <c r="F18" t="s">
        <v>13</v>
      </c>
      <c r="G18" t="s">
        <v>14</v>
      </c>
      <c r="H18" t="s">
        <v>18</v>
      </c>
      <c r="I18">
        <v>1</v>
      </c>
      <c r="J18" t="s">
        <v>16</v>
      </c>
      <c r="K18" t="s">
        <v>32</v>
      </c>
      <c r="L18">
        <v>40</v>
      </c>
      <c r="M18" t="s">
        <v>47</v>
      </c>
      <c r="N18" t="s">
        <v>18</v>
      </c>
    </row>
    <row r="19" spans="1:14" x14ac:dyDescent="0.3">
      <c r="A19">
        <v>12610</v>
      </c>
      <c r="B19" t="s">
        <v>36</v>
      </c>
      <c r="C19" t="s">
        <v>42</v>
      </c>
      <c r="D19">
        <v>30000</v>
      </c>
      <c r="E19">
        <v>1</v>
      </c>
      <c r="F19" t="s">
        <v>13</v>
      </c>
      <c r="G19" t="s">
        <v>20</v>
      </c>
      <c r="H19" t="s">
        <v>15</v>
      </c>
      <c r="I19">
        <v>0</v>
      </c>
      <c r="J19" t="s">
        <v>16</v>
      </c>
      <c r="K19" t="s">
        <v>17</v>
      </c>
      <c r="L19">
        <v>47</v>
      </c>
      <c r="M19" t="s">
        <v>47</v>
      </c>
      <c r="N19" t="s">
        <v>18</v>
      </c>
    </row>
    <row r="20" spans="1:14" x14ac:dyDescent="0.3">
      <c r="A20">
        <v>21940</v>
      </c>
      <c r="B20" t="s">
        <v>36</v>
      </c>
      <c r="C20" t="s">
        <v>38</v>
      </c>
      <c r="D20">
        <v>90000</v>
      </c>
      <c r="E20">
        <v>5</v>
      </c>
      <c r="F20" t="s">
        <v>31</v>
      </c>
      <c r="G20" t="s">
        <v>21</v>
      </c>
      <c r="H20" t="s">
        <v>15</v>
      </c>
      <c r="I20">
        <v>0</v>
      </c>
      <c r="J20" t="s">
        <v>16</v>
      </c>
      <c r="K20" t="s">
        <v>32</v>
      </c>
      <c r="L20">
        <v>47</v>
      </c>
      <c r="M20" t="s">
        <v>47</v>
      </c>
      <c r="N20" t="s">
        <v>15</v>
      </c>
    </row>
    <row r="21" spans="1:14" x14ac:dyDescent="0.3">
      <c r="A21">
        <v>14662</v>
      </c>
      <c r="B21" t="s">
        <v>36</v>
      </c>
      <c r="C21" t="s">
        <v>38</v>
      </c>
      <c r="D21">
        <v>60000</v>
      </c>
      <c r="E21">
        <v>1</v>
      </c>
      <c r="F21" t="s">
        <v>13</v>
      </c>
      <c r="G21" t="s">
        <v>21</v>
      </c>
      <c r="H21" t="s">
        <v>15</v>
      </c>
      <c r="I21">
        <v>1</v>
      </c>
      <c r="J21" t="s">
        <v>16</v>
      </c>
      <c r="K21" t="s">
        <v>32</v>
      </c>
      <c r="L21">
        <v>48</v>
      </c>
      <c r="M21" t="s">
        <v>47</v>
      </c>
      <c r="N21" t="s">
        <v>15</v>
      </c>
    </row>
    <row r="22" spans="1:14" x14ac:dyDescent="0.3">
      <c r="A22">
        <v>25598</v>
      </c>
      <c r="B22" t="s">
        <v>36</v>
      </c>
      <c r="C22" t="s">
        <v>42</v>
      </c>
      <c r="D22">
        <v>40000</v>
      </c>
      <c r="E22">
        <v>0</v>
      </c>
      <c r="F22" t="s">
        <v>31</v>
      </c>
      <c r="G22" t="s">
        <v>20</v>
      </c>
      <c r="H22" t="s">
        <v>15</v>
      </c>
      <c r="I22">
        <v>0</v>
      </c>
      <c r="J22" t="s">
        <v>16</v>
      </c>
      <c r="K22" t="s">
        <v>17</v>
      </c>
      <c r="L22">
        <v>36</v>
      </c>
      <c r="M22" t="s">
        <v>47</v>
      </c>
      <c r="N22" t="s">
        <v>15</v>
      </c>
    </row>
    <row r="23" spans="1:14" x14ac:dyDescent="0.3">
      <c r="A23">
        <v>22296</v>
      </c>
      <c r="B23" t="s">
        <v>36</v>
      </c>
      <c r="C23" t="s">
        <v>38</v>
      </c>
      <c r="D23">
        <v>70000</v>
      </c>
      <c r="E23">
        <v>0</v>
      </c>
      <c r="F23" t="s">
        <v>13</v>
      </c>
      <c r="G23" t="s">
        <v>21</v>
      </c>
      <c r="H23" t="s">
        <v>18</v>
      </c>
      <c r="I23">
        <v>1</v>
      </c>
      <c r="J23" t="s">
        <v>16</v>
      </c>
      <c r="K23" t="s">
        <v>32</v>
      </c>
      <c r="L23">
        <v>38</v>
      </c>
      <c r="M23" t="s">
        <v>47</v>
      </c>
      <c r="N23" t="s">
        <v>18</v>
      </c>
    </row>
    <row r="24" spans="1:14" x14ac:dyDescent="0.3">
      <c r="A24">
        <v>21693</v>
      </c>
      <c r="B24" t="s">
        <v>37</v>
      </c>
      <c r="C24" t="s">
        <v>42</v>
      </c>
      <c r="D24">
        <v>60000</v>
      </c>
      <c r="E24">
        <v>0</v>
      </c>
      <c r="F24" t="s">
        <v>31</v>
      </c>
      <c r="G24" t="s">
        <v>14</v>
      </c>
      <c r="H24" t="s">
        <v>18</v>
      </c>
      <c r="I24">
        <v>0</v>
      </c>
      <c r="J24" t="s">
        <v>16</v>
      </c>
      <c r="K24" t="s">
        <v>32</v>
      </c>
      <c r="L24">
        <v>40</v>
      </c>
      <c r="M24" t="s">
        <v>47</v>
      </c>
      <c r="N24" t="s">
        <v>18</v>
      </c>
    </row>
    <row r="25" spans="1:14" x14ac:dyDescent="0.3">
      <c r="A25">
        <v>25419</v>
      </c>
      <c r="B25" t="s">
        <v>37</v>
      </c>
      <c r="C25" t="s">
        <v>38</v>
      </c>
      <c r="D25">
        <v>50000</v>
      </c>
      <c r="E25">
        <v>2</v>
      </c>
      <c r="F25" t="s">
        <v>13</v>
      </c>
      <c r="G25" t="s">
        <v>14</v>
      </c>
      <c r="H25" t="s">
        <v>18</v>
      </c>
      <c r="I25">
        <v>1</v>
      </c>
      <c r="J25" t="s">
        <v>16</v>
      </c>
      <c r="K25" t="s">
        <v>32</v>
      </c>
      <c r="L25">
        <v>38</v>
      </c>
      <c r="M25" t="s">
        <v>47</v>
      </c>
      <c r="N25" t="s">
        <v>15</v>
      </c>
    </row>
    <row r="26" spans="1:14" x14ac:dyDescent="0.3">
      <c r="A26">
        <v>27184</v>
      </c>
      <c r="B26" t="s">
        <v>37</v>
      </c>
      <c r="C26" t="s">
        <v>38</v>
      </c>
      <c r="D26">
        <v>40000</v>
      </c>
      <c r="E26">
        <v>2</v>
      </c>
      <c r="F26" t="s">
        <v>19</v>
      </c>
      <c r="G26" t="s">
        <v>20</v>
      </c>
      <c r="H26" t="s">
        <v>18</v>
      </c>
      <c r="I26">
        <v>1</v>
      </c>
      <c r="J26" t="s">
        <v>16</v>
      </c>
      <c r="K26" t="s">
        <v>17</v>
      </c>
      <c r="L26">
        <v>34</v>
      </c>
      <c r="M26" t="s">
        <v>47</v>
      </c>
      <c r="N26" t="s">
        <v>18</v>
      </c>
    </row>
    <row r="27" spans="1:14" x14ac:dyDescent="0.3">
      <c r="A27">
        <v>12590</v>
      </c>
      <c r="B27" t="s">
        <v>37</v>
      </c>
      <c r="C27" t="s">
        <v>38</v>
      </c>
      <c r="D27">
        <v>30000</v>
      </c>
      <c r="E27">
        <v>1</v>
      </c>
      <c r="F27" t="s">
        <v>13</v>
      </c>
      <c r="G27" t="s">
        <v>20</v>
      </c>
      <c r="H27" t="s">
        <v>15</v>
      </c>
      <c r="I27">
        <v>0</v>
      </c>
      <c r="J27" t="s">
        <v>16</v>
      </c>
      <c r="K27" t="s">
        <v>17</v>
      </c>
      <c r="L27">
        <v>63</v>
      </c>
      <c r="M27" t="s">
        <v>48</v>
      </c>
      <c r="N27" t="s">
        <v>18</v>
      </c>
    </row>
    <row r="28" spans="1:14" x14ac:dyDescent="0.3">
      <c r="A28">
        <v>17841</v>
      </c>
      <c r="B28" t="s">
        <v>37</v>
      </c>
      <c r="C28" t="s">
        <v>38</v>
      </c>
      <c r="D28">
        <v>30000</v>
      </c>
      <c r="E28">
        <v>0</v>
      </c>
      <c r="F28" t="s">
        <v>19</v>
      </c>
      <c r="G28" t="s">
        <v>20</v>
      </c>
      <c r="H28" t="s">
        <v>18</v>
      </c>
      <c r="I28">
        <v>1</v>
      </c>
      <c r="J28" t="s">
        <v>16</v>
      </c>
      <c r="K28" t="s">
        <v>17</v>
      </c>
      <c r="L28">
        <v>29</v>
      </c>
      <c r="M28" t="s">
        <v>49</v>
      </c>
      <c r="N28" t="s">
        <v>15</v>
      </c>
    </row>
    <row r="29" spans="1:14" x14ac:dyDescent="0.3">
      <c r="A29">
        <v>24322</v>
      </c>
      <c r="B29" t="s">
        <v>36</v>
      </c>
      <c r="C29" t="s">
        <v>42</v>
      </c>
      <c r="D29">
        <v>60000</v>
      </c>
      <c r="E29">
        <v>4</v>
      </c>
      <c r="F29" t="s">
        <v>13</v>
      </c>
      <c r="G29" t="s">
        <v>14</v>
      </c>
      <c r="H29" t="s">
        <v>18</v>
      </c>
      <c r="I29">
        <v>2</v>
      </c>
      <c r="J29" t="s">
        <v>16</v>
      </c>
      <c r="K29" t="s">
        <v>32</v>
      </c>
      <c r="L29">
        <v>42</v>
      </c>
      <c r="M29" t="s">
        <v>47</v>
      </c>
      <c r="N29" t="s">
        <v>18</v>
      </c>
    </row>
    <row r="30" spans="1:14" x14ac:dyDescent="0.3">
      <c r="A30">
        <v>11663</v>
      </c>
      <c r="B30" t="s">
        <v>36</v>
      </c>
      <c r="C30" t="s">
        <v>38</v>
      </c>
      <c r="D30">
        <v>70000</v>
      </c>
      <c r="E30">
        <v>4</v>
      </c>
      <c r="F30" t="s">
        <v>31</v>
      </c>
      <c r="G30" t="s">
        <v>21</v>
      </c>
      <c r="H30" t="s">
        <v>15</v>
      </c>
      <c r="I30">
        <v>0</v>
      </c>
      <c r="J30" t="s">
        <v>16</v>
      </c>
      <c r="K30" t="s">
        <v>32</v>
      </c>
      <c r="L30">
        <v>36</v>
      </c>
      <c r="M30" t="s">
        <v>47</v>
      </c>
      <c r="N30" t="s">
        <v>15</v>
      </c>
    </row>
    <row r="31" spans="1:14" x14ac:dyDescent="0.3">
      <c r="A31">
        <v>16466</v>
      </c>
      <c r="B31" t="s">
        <v>37</v>
      </c>
      <c r="C31" t="s">
        <v>42</v>
      </c>
      <c r="D31">
        <v>20000</v>
      </c>
      <c r="E31">
        <v>0</v>
      </c>
      <c r="F31" t="s">
        <v>29</v>
      </c>
      <c r="G31" t="s">
        <v>25</v>
      </c>
      <c r="H31" t="s">
        <v>18</v>
      </c>
      <c r="I31">
        <v>2</v>
      </c>
      <c r="J31" t="s">
        <v>16</v>
      </c>
      <c r="K31" t="s">
        <v>17</v>
      </c>
      <c r="L31">
        <v>32</v>
      </c>
      <c r="M31" t="s">
        <v>47</v>
      </c>
      <c r="N31" t="s">
        <v>15</v>
      </c>
    </row>
    <row r="32" spans="1:14" x14ac:dyDescent="0.3">
      <c r="A32">
        <v>19273</v>
      </c>
      <c r="B32" t="s">
        <v>36</v>
      </c>
      <c r="C32" t="s">
        <v>42</v>
      </c>
      <c r="D32">
        <v>20000</v>
      </c>
      <c r="E32">
        <v>2</v>
      </c>
      <c r="F32" t="s">
        <v>19</v>
      </c>
      <c r="G32" t="s">
        <v>25</v>
      </c>
      <c r="H32" t="s">
        <v>15</v>
      </c>
      <c r="I32">
        <v>0</v>
      </c>
      <c r="J32" t="s">
        <v>16</v>
      </c>
      <c r="K32" t="s">
        <v>17</v>
      </c>
      <c r="L32">
        <v>63</v>
      </c>
      <c r="M32" t="s">
        <v>48</v>
      </c>
      <c r="N32" t="s">
        <v>18</v>
      </c>
    </row>
    <row r="33" spans="1:14" x14ac:dyDescent="0.3">
      <c r="A33">
        <v>22400</v>
      </c>
      <c r="B33" t="s">
        <v>36</v>
      </c>
      <c r="C33" t="s">
        <v>38</v>
      </c>
      <c r="D33">
        <v>10000</v>
      </c>
      <c r="E33">
        <v>0</v>
      </c>
      <c r="F33" t="s">
        <v>19</v>
      </c>
      <c r="G33" t="s">
        <v>25</v>
      </c>
      <c r="H33" t="s">
        <v>18</v>
      </c>
      <c r="I33">
        <v>1</v>
      </c>
      <c r="J33" t="s">
        <v>16</v>
      </c>
      <c r="K33" t="s">
        <v>24</v>
      </c>
      <c r="L33">
        <v>26</v>
      </c>
      <c r="M33" t="s">
        <v>49</v>
      </c>
      <c r="N33" t="s">
        <v>15</v>
      </c>
    </row>
    <row r="34" spans="1:14" x14ac:dyDescent="0.3">
      <c r="A34">
        <v>18050</v>
      </c>
      <c r="B34" t="s">
        <v>36</v>
      </c>
      <c r="C34" t="s">
        <v>42</v>
      </c>
      <c r="D34">
        <v>60000</v>
      </c>
      <c r="E34">
        <v>1</v>
      </c>
      <c r="F34" t="s">
        <v>19</v>
      </c>
      <c r="G34" t="s">
        <v>14</v>
      </c>
      <c r="H34" t="s">
        <v>15</v>
      </c>
      <c r="I34">
        <v>1</v>
      </c>
      <c r="J34" t="s">
        <v>16</v>
      </c>
      <c r="K34" t="s">
        <v>32</v>
      </c>
      <c r="L34">
        <v>45</v>
      </c>
      <c r="M34" t="s">
        <v>47</v>
      </c>
      <c r="N34" t="s">
        <v>15</v>
      </c>
    </row>
    <row r="35" spans="1:14" x14ac:dyDescent="0.3">
      <c r="A35">
        <v>12033</v>
      </c>
      <c r="B35" t="s">
        <v>37</v>
      </c>
      <c r="C35" t="s">
        <v>42</v>
      </c>
      <c r="D35">
        <v>40000</v>
      </c>
      <c r="E35">
        <v>0</v>
      </c>
      <c r="F35" t="s">
        <v>27</v>
      </c>
      <c r="G35" t="s">
        <v>14</v>
      </c>
      <c r="H35" t="s">
        <v>18</v>
      </c>
      <c r="I35">
        <v>2</v>
      </c>
      <c r="J35" t="s">
        <v>16</v>
      </c>
      <c r="K35" t="s">
        <v>32</v>
      </c>
      <c r="L35">
        <v>27</v>
      </c>
      <c r="M35" t="s">
        <v>49</v>
      </c>
      <c r="N35" t="s">
        <v>15</v>
      </c>
    </row>
    <row r="36" spans="1:14" x14ac:dyDescent="0.3">
      <c r="A36">
        <v>27273</v>
      </c>
      <c r="B36" t="s">
        <v>37</v>
      </c>
      <c r="C36" t="s">
        <v>38</v>
      </c>
      <c r="D36">
        <v>70000</v>
      </c>
      <c r="E36">
        <v>3</v>
      </c>
      <c r="F36" t="s">
        <v>31</v>
      </c>
      <c r="G36" t="s">
        <v>21</v>
      </c>
      <c r="H36" t="s">
        <v>18</v>
      </c>
      <c r="I36">
        <v>0</v>
      </c>
      <c r="J36" t="s">
        <v>16</v>
      </c>
      <c r="K36" t="s">
        <v>32</v>
      </c>
      <c r="L36">
        <v>35</v>
      </c>
      <c r="M36" t="s">
        <v>47</v>
      </c>
      <c r="N36" t="s">
        <v>15</v>
      </c>
    </row>
    <row r="37" spans="1:14" x14ac:dyDescent="0.3">
      <c r="A37">
        <v>28380</v>
      </c>
      <c r="B37" t="s">
        <v>37</v>
      </c>
      <c r="C37" t="s">
        <v>42</v>
      </c>
      <c r="D37">
        <v>10000</v>
      </c>
      <c r="E37">
        <v>5</v>
      </c>
      <c r="F37" t="s">
        <v>29</v>
      </c>
      <c r="G37" t="s">
        <v>25</v>
      </c>
      <c r="H37" t="s">
        <v>18</v>
      </c>
      <c r="I37">
        <v>2</v>
      </c>
      <c r="J37" t="s">
        <v>16</v>
      </c>
      <c r="K37" t="s">
        <v>17</v>
      </c>
      <c r="L37">
        <v>41</v>
      </c>
      <c r="M37" t="s">
        <v>47</v>
      </c>
      <c r="N37" t="s">
        <v>18</v>
      </c>
    </row>
    <row r="38" spans="1:14" x14ac:dyDescent="0.3">
      <c r="A38">
        <v>17891</v>
      </c>
      <c r="B38" t="s">
        <v>36</v>
      </c>
      <c r="C38" t="s">
        <v>42</v>
      </c>
      <c r="D38">
        <v>10000</v>
      </c>
      <c r="E38">
        <v>2</v>
      </c>
      <c r="F38" t="s">
        <v>19</v>
      </c>
      <c r="G38" t="s">
        <v>25</v>
      </c>
      <c r="H38" t="s">
        <v>15</v>
      </c>
      <c r="I38">
        <v>1</v>
      </c>
      <c r="J38" t="s">
        <v>16</v>
      </c>
      <c r="K38" t="s">
        <v>17</v>
      </c>
      <c r="L38">
        <v>50</v>
      </c>
      <c r="M38" t="s">
        <v>47</v>
      </c>
      <c r="N38" t="s">
        <v>15</v>
      </c>
    </row>
    <row r="39" spans="1:14" x14ac:dyDescent="0.3">
      <c r="A39">
        <v>21713</v>
      </c>
      <c r="B39" t="s">
        <v>37</v>
      </c>
      <c r="C39" t="s">
        <v>38</v>
      </c>
      <c r="D39">
        <v>80000</v>
      </c>
      <c r="E39">
        <v>5</v>
      </c>
      <c r="F39" t="s">
        <v>31</v>
      </c>
      <c r="G39" t="s">
        <v>14</v>
      </c>
      <c r="H39" t="s">
        <v>18</v>
      </c>
      <c r="I39">
        <v>0</v>
      </c>
      <c r="J39" t="s">
        <v>16</v>
      </c>
      <c r="K39" t="s">
        <v>32</v>
      </c>
      <c r="L39">
        <v>47</v>
      </c>
      <c r="M39" t="s">
        <v>47</v>
      </c>
      <c r="N39" t="s">
        <v>18</v>
      </c>
    </row>
    <row r="40" spans="1:14" x14ac:dyDescent="0.3">
      <c r="A40">
        <v>26305</v>
      </c>
      <c r="B40" t="s">
        <v>37</v>
      </c>
      <c r="C40" t="s">
        <v>42</v>
      </c>
      <c r="D40">
        <v>60000</v>
      </c>
      <c r="E40">
        <v>2</v>
      </c>
      <c r="F40" t="s">
        <v>13</v>
      </c>
      <c r="G40" t="s">
        <v>14</v>
      </c>
      <c r="H40" t="s">
        <v>18</v>
      </c>
      <c r="I40">
        <v>0</v>
      </c>
      <c r="J40" t="s">
        <v>16</v>
      </c>
      <c r="K40" t="s">
        <v>32</v>
      </c>
      <c r="L40">
        <v>36</v>
      </c>
      <c r="M40" t="s">
        <v>47</v>
      </c>
      <c r="N40" t="s">
        <v>15</v>
      </c>
    </row>
    <row r="41" spans="1:14" x14ac:dyDescent="0.3">
      <c r="A41">
        <v>16259</v>
      </c>
      <c r="B41" t="s">
        <v>37</v>
      </c>
      <c r="C41" t="s">
        <v>42</v>
      </c>
      <c r="D41">
        <v>10000</v>
      </c>
      <c r="E41">
        <v>4</v>
      </c>
      <c r="F41" t="s">
        <v>29</v>
      </c>
      <c r="G41" t="s">
        <v>25</v>
      </c>
      <c r="H41" t="s">
        <v>15</v>
      </c>
      <c r="I41">
        <v>2</v>
      </c>
      <c r="J41" t="s">
        <v>16</v>
      </c>
      <c r="K41" t="s">
        <v>17</v>
      </c>
      <c r="L41">
        <v>40</v>
      </c>
      <c r="M41" t="s">
        <v>47</v>
      </c>
      <c r="N41" t="s">
        <v>15</v>
      </c>
    </row>
    <row r="42" spans="1:14" x14ac:dyDescent="0.3">
      <c r="A42">
        <v>27803</v>
      </c>
      <c r="B42" t="s">
        <v>37</v>
      </c>
      <c r="C42" t="s">
        <v>42</v>
      </c>
      <c r="D42">
        <v>30000</v>
      </c>
      <c r="E42">
        <v>2</v>
      </c>
      <c r="F42" t="s">
        <v>19</v>
      </c>
      <c r="G42" t="s">
        <v>20</v>
      </c>
      <c r="H42" t="s">
        <v>18</v>
      </c>
      <c r="I42">
        <v>0</v>
      </c>
      <c r="J42" t="s">
        <v>16</v>
      </c>
      <c r="K42" t="s">
        <v>17</v>
      </c>
      <c r="L42">
        <v>43</v>
      </c>
      <c r="M42" t="s">
        <v>47</v>
      </c>
      <c r="N42" t="s">
        <v>18</v>
      </c>
    </row>
    <row r="43" spans="1:14" x14ac:dyDescent="0.3">
      <c r="A43">
        <v>16122</v>
      </c>
      <c r="B43" t="s">
        <v>36</v>
      </c>
      <c r="C43" t="s">
        <v>38</v>
      </c>
      <c r="D43">
        <v>40000</v>
      </c>
      <c r="E43">
        <v>4</v>
      </c>
      <c r="F43" t="s">
        <v>27</v>
      </c>
      <c r="G43" t="s">
        <v>14</v>
      </c>
      <c r="H43" t="s">
        <v>15</v>
      </c>
      <c r="I43">
        <v>2</v>
      </c>
      <c r="J43" t="s">
        <v>16</v>
      </c>
      <c r="K43" t="s">
        <v>32</v>
      </c>
      <c r="L43">
        <v>44</v>
      </c>
      <c r="M43" t="s">
        <v>47</v>
      </c>
      <c r="N43" t="s">
        <v>15</v>
      </c>
    </row>
    <row r="44" spans="1:14" x14ac:dyDescent="0.3">
      <c r="A44">
        <v>17703</v>
      </c>
      <c r="B44" t="s">
        <v>36</v>
      </c>
      <c r="C44" t="s">
        <v>42</v>
      </c>
      <c r="D44">
        <v>10000</v>
      </c>
      <c r="E44">
        <v>1</v>
      </c>
      <c r="F44" t="s">
        <v>31</v>
      </c>
      <c r="G44" t="s">
        <v>25</v>
      </c>
      <c r="H44" t="s">
        <v>15</v>
      </c>
      <c r="I44">
        <v>0</v>
      </c>
      <c r="J44" t="s">
        <v>16</v>
      </c>
      <c r="K44" t="s">
        <v>17</v>
      </c>
      <c r="L44">
        <v>40</v>
      </c>
      <c r="M44" t="s">
        <v>47</v>
      </c>
      <c r="N44" t="s">
        <v>18</v>
      </c>
    </row>
    <row r="45" spans="1:14" x14ac:dyDescent="0.3">
      <c r="A45">
        <v>12029</v>
      </c>
      <c r="B45" t="s">
        <v>36</v>
      </c>
      <c r="C45" t="s">
        <v>38</v>
      </c>
      <c r="D45">
        <v>30000</v>
      </c>
      <c r="E45">
        <v>0</v>
      </c>
      <c r="F45" t="s">
        <v>29</v>
      </c>
      <c r="G45" t="s">
        <v>20</v>
      </c>
      <c r="H45" t="s">
        <v>18</v>
      </c>
      <c r="I45">
        <v>2</v>
      </c>
      <c r="J45" t="s">
        <v>16</v>
      </c>
      <c r="K45" t="s">
        <v>32</v>
      </c>
      <c r="L45">
        <v>28</v>
      </c>
      <c r="M45" t="s">
        <v>49</v>
      </c>
      <c r="N45" t="s">
        <v>18</v>
      </c>
    </row>
    <row r="46" spans="1:14" x14ac:dyDescent="0.3">
      <c r="A46">
        <v>29380</v>
      </c>
      <c r="B46" t="s">
        <v>36</v>
      </c>
      <c r="C46" t="s">
        <v>42</v>
      </c>
      <c r="D46">
        <v>20000</v>
      </c>
      <c r="E46">
        <v>3</v>
      </c>
      <c r="F46" t="s">
        <v>27</v>
      </c>
      <c r="G46" t="s">
        <v>25</v>
      </c>
      <c r="H46" t="s">
        <v>15</v>
      </c>
      <c r="I46">
        <v>0</v>
      </c>
      <c r="J46" t="s">
        <v>16</v>
      </c>
      <c r="K46" t="s">
        <v>17</v>
      </c>
      <c r="L46">
        <v>41</v>
      </c>
      <c r="M46" t="s">
        <v>47</v>
      </c>
      <c r="N46" t="s">
        <v>15</v>
      </c>
    </row>
    <row r="47" spans="1:14" x14ac:dyDescent="0.3">
      <c r="A47">
        <v>23986</v>
      </c>
      <c r="B47" t="s">
        <v>36</v>
      </c>
      <c r="C47" t="s">
        <v>42</v>
      </c>
      <c r="D47">
        <v>20000</v>
      </c>
      <c r="E47">
        <v>1</v>
      </c>
      <c r="F47" t="s">
        <v>13</v>
      </c>
      <c r="G47" t="s">
        <v>20</v>
      </c>
      <c r="H47" t="s">
        <v>15</v>
      </c>
      <c r="I47">
        <v>0</v>
      </c>
      <c r="J47" t="s">
        <v>16</v>
      </c>
      <c r="K47" t="s">
        <v>17</v>
      </c>
      <c r="L47">
        <v>66</v>
      </c>
      <c r="M47" t="s">
        <v>48</v>
      </c>
      <c r="N47" t="s">
        <v>15</v>
      </c>
    </row>
    <row r="48" spans="1:14" x14ac:dyDescent="0.3">
      <c r="A48">
        <v>21583</v>
      </c>
      <c r="B48" t="s">
        <v>36</v>
      </c>
      <c r="C48" t="s">
        <v>42</v>
      </c>
      <c r="D48">
        <v>50000</v>
      </c>
      <c r="E48">
        <v>1</v>
      </c>
      <c r="F48" t="s">
        <v>13</v>
      </c>
      <c r="G48" t="s">
        <v>14</v>
      </c>
      <c r="H48" t="s">
        <v>15</v>
      </c>
      <c r="I48">
        <v>0</v>
      </c>
      <c r="J48" t="s">
        <v>16</v>
      </c>
      <c r="K48" t="s">
        <v>32</v>
      </c>
      <c r="L48">
        <v>34</v>
      </c>
      <c r="M48" t="s">
        <v>47</v>
      </c>
      <c r="N48" t="s">
        <v>15</v>
      </c>
    </row>
    <row r="49" spans="1:14" x14ac:dyDescent="0.3">
      <c r="A49">
        <v>13873</v>
      </c>
      <c r="B49" t="s">
        <v>36</v>
      </c>
      <c r="C49" t="s">
        <v>38</v>
      </c>
      <c r="D49">
        <v>70000</v>
      </c>
      <c r="E49">
        <v>3</v>
      </c>
      <c r="F49" t="s">
        <v>31</v>
      </c>
      <c r="G49" t="s">
        <v>21</v>
      </c>
      <c r="H49" t="s">
        <v>15</v>
      </c>
      <c r="I49">
        <v>0</v>
      </c>
      <c r="J49" t="s">
        <v>16</v>
      </c>
      <c r="K49" t="s">
        <v>32</v>
      </c>
      <c r="L49">
        <v>35</v>
      </c>
      <c r="M49" t="s">
        <v>47</v>
      </c>
      <c r="N49" t="s">
        <v>15</v>
      </c>
    </row>
    <row r="50" spans="1:14" x14ac:dyDescent="0.3">
      <c r="A50">
        <v>19487</v>
      </c>
      <c r="B50" t="s">
        <v>36</v>
      </c>
      <c r="C50" t="s">
        <v>38</v>
      </c>
      <c r="D50">
        <v>30000</v>
      </c>
      <c r="E50">
        <v>2</v>
      </c>
      <c r="F50" t="s">
        <v>19</v>
      </c>
      <c r="G50" t="s">
        <v>20</v>
      </c>
      <c r="H50" t="s">
        <v>18</v>
      </c>
      <c r="I50">
        <v>2</v>
      </c>
      <c r="J50" t="s">
        <v>16</v>
      </c>
      <c r="K50" t="s">
        <v>17</v>
      </c>
      <c r="L50">
        <v>42</v>
      </c>
      <c r="M50" t="s">
        <v>47</v>
      </c>
      <c r="N50" t="s">
        <v>18</v>
      </c>
    </row>
    <row r="51" spans="1:14" x14ac:dyDescent="0.3">
      <c r="A51">
        <v>14939</v>
      </c>
      <c r="B51" t="s">
        <v>37</v>
      </c>
      <c r="C51" t="s">
        <v>38</v>
      </c>
      <c r="D51">
        <v>40000</v>
      </c>
      <c r="E51">
        <v>0</v>
      </c>
      <c r="F51" t="s">
        <v>13</v>
      </c>
      <c r="G51" t="s">
        <v>20</v>
      </c>
      <c r="H51" t="s">
        <v>15</v>
      </c>
      <c r="I51">
        <v>0</v>
      </c>
      <c r="J51" t="s">
        <v>16</v>
      </c>
      <c r="K51" t="s">
        <v>17</v>
      </c>
      <c r="L51">
        <v>39</v>
      </c>
      <c r="M51" t="s">
        <v>47</v>
      </c>
      <c r="N51" t="s">
        <v>15</v>
      </c>
    </row>
    <row r="52" spans="1:14" x14ac:dyDescent="0.3">
      <c r="A52">
        <v>13826</v>
      </c>
      <c r="B52" t="s">
        <v>37</v>
      </c>
      <c r="C52" t="s">
        <v>42</v>
      </c>
      <c r="D52">
        <v>30000</v>
      </c>
      <c r="E52">
        <v>0</v>
      </c>
      <c r="F52" t="s">
        <v>19</v>
      </c>
      <c r="G52" t="s">
        <v>20</v>
      </c>
      <c r="H52" t="s">
        <v>18</v>
      </c>
      <c r="I52">
        <v>1</v>
      </c>
      <c r="J52" t="s">
        <v>16</v>
      </c>
      <c r="K52" t="s">
        <v>17</v>
      </c>
      <c r="L52">
        <v>28</v>
      </c>
      <c r="M52" t="s">
        <v>49</v>
      </c>
      <c r="N52" t="s">
        <v>18</v>
      </c>
    </row>
    <row r="53" spans="1:14" x14ac:dyDescent="0.3">
      <c r="A53">
        <v>14569</v>
      </c>
      <c r="B53" t="s">
        <v>36</v>
      </c>
      <c r="C53" t="s">
        <v>38</v>
      </c>
      <c r="D53">
        <v>60000</v>
      </c>
      <c r="E53">
        <v>1</v>
      </c>
      <c r="F53" t="s">
        <v>31</v>
      </c>
      <c r="G53" t="s">
        <v>21</v>
      </c>
      <c r="H53" t="s">
        <v>15</v>
      </c>
      <c r="I53">
        <v>0</v>
      </c>
      <c r="J53" t="s">
        <v>16</v>
      </c>
      <c r="K53" t="s">
        <v>32</v>
      </c>
      <c r="L53">
        <v>35</v>
      </c>
      <c r="M53" t="s">
        <v>47</v>
      </c>
      <c r="N53" t="s">
        <v>18</v>
      </c>
    </row>
    <row r="54" spans="1:14" x14ac:dyDescent="0.3">
      <c r="A54">
        <v>12558</v>
      </c>
      <c r="B54" t="s">
        <v>36</v>
      </c>
      <c r="C54" t="s">
        <v>42</v>
      </c>
      <c r="D54">
        <v>20000</v>
      </c>
      <c r="E54">
        <v>1</v>
      </c>
      <c r="F54" t="s">
        <v>13</v>
      </c>
      <c r="G54" t="s">
        <v>20</v>
      </c>
      <c r="H54" t="s">
        <v>15</v>
      </c>
      <c r="I54">
        <v>0</v>
      </c>
      <c r="J54" t="s">
        <v>16</v>
      </c>
      <c r="K54" t="s">
        <v>17</v>
      </c>
      <c r="L54">
        <v>65</v>
      </c>
      <c r="M54" t="s">
        <v>48</v>
      </c>
      <c r="N54" t="s">
        <v>18</v>
      </c>
    </row>
    <row r="55" spans="1:14" x14ac:dyDescent="0.3">
      <c r="A55">
        <v>19228</v>
      </c>
      <c r="B55" t="s">
        <v>36</v>
      </c>
      <c r="C55" t="s">
        <v>42</v>
      </c>
      <c r="D55">
        <v>40000</v>
      </c>
      <c r="E55">
        <v>2</v>
      </c>
      <c r="F55" t="s">
        <v>19</v>
      </c>
      <c r="G55" t="s">
        <v>20</v>
      </c>
      <c r="H55" t="s">
        <v>15</v>
      </c>
      <c r="I55">
        <v>1</v>
      </c>
      <c r="J55" t="s">
        <v>16</v>
      </c>
      <c r="K55" t="s">
        <v>32</v>
      </c>
      <c r="L55">
        <v>48</v>
      </c>
      <c r="M55" t="s">
        <v>47</v>
      </c>
      <c r="N55" t="s">
        <v>18</v>
      </c>
    </row>
    <row r="56" spans="1:14" x14ac:dyDescent="0.3">
      <c r="A56">
        <v>27074</v>
      </c>
      <c r="B56" t="s">
        <v>36</v>
      </c>
      <c r="C56" t="s">
        <v>42</v>
      </c>
      <c r="D56">
        <v>70000</v>
      </c>
      <c r="E56">
        <v>1</v>
      </c>
      <c r="F56" t="s">
        <v>31</v>
      </c>
      <c r="G56" t="s">
        <v>14</v>
      </c>
      <c r="H56" t="s">
        <v>15</v>
      </c>
      <c r="I56">
        <v>0</v>
      </c>
      <c r="J56" t="s">
        <v>16</v>
      </c>
      <c r="K56" t="s">
        <v>32</v>
      </c>
      <c r="L56">
        <v>35</v>
      </c>
      <c r="M56" t="s">
        <v>47</v>
      </c>
      <c r="N56" t="s">
        <v>15</v>
      </c>
    </row>
    <row r="57" spans="1:14" x14ac:dyDescent="0.3">
      <c r="A57">
        <v>26597</v>
      </c>
      <c r="B57" t="s">
        <v>37</v>
      </c>
      <c r="C57" t="s">
        <v>42</v>
      </c>
      <c r="D57">
        <v>60000</v>
      </c>
      <c r="E57">
        <v>4</v>
      </c>
      <c r="F57" t="s">
        <v>13</v>
      </c>
      <c r="G57" t="s">
        <v>14</v>
      </c>
      <c r="H57" t="s">
        <v>18</v>
      </c>
      <c r="I57">
        <v>2</v>
      </c>
      <c r="J57" t="s">
        <v>16</v>
      </c>
      <c r="K57" t="s">
        <v>32</v>
      </c>
      <c r="L57">
        <v>42</v>
      </c>
      <c r="M57" t="s">
        <v>47</v>
      </c>
      <c r="N57" t="s">
        <v>18</v>
      </c>
    </row>
    <row r="58" spans="1:14" x14ac:dyDescent="0.3">
      <c r="A58">
        <v>12808</v>
      </c>
      <c r="B58" t="s">
        <v>36</v>
      </c>
      <c r="C58" t="s">
        <v>38</v>
      </c>
      <c r="D58">
        <v>40000</v>
      </c>
      <c r="E58">
        <v>0</v>
      </c>
      <c r="F58" t="s">
        <v>13</v>
      </c>
      <c r="G58" t="s">
        <v>20</v>
      </c>
      <c r="H58" t="s">
        <v>15</v>
      </c>
      <c r="I58">
        <v>0</v>
      </c>
      <c r="J58" t="s">
        <v>16</v>
      </c>
      <c r="K58" t="s">
        <v>17</v>
      </c>
      <c r="L58">
        <v>38</v>
      </c>
      <c r="M58" t="s">
        <v>47</v>
      </c>
      <c r="N58" t="s">
        <v>15</v>
      </c>
    </row>
    <row r="59" spans="1:14" x14ac:dyDescent="0.3">
      <c r="A59">
        <v>11622</v>
      </c>
      <c r="B59" t="s">
        <v>36</v>
      </c>
      <c r="C59" t="s">
        <v>38</v>
      </c>
      <c r="D59">
        <v>50000</v>
      </c>
      <c r="E59">
        <v>0</v>
      </c>
      <c r="F59" t="s">
        <v>31</v>
      </c>
      <c r="G59" t="s">
        <v>14</v>
      </c>
      <c r="H59" t="s">
        <v>15</v>
      </c>
      <c r="I59">
        <v>0</v>
      </c>
      <c r="J59" t="s">
        <v>16</v>
      </c>
      <c r="K59" t="s">
        <v>32</v>
      </c>
      <c r="L59">
        <v>32</v>
      </c>
      <c r="M59" t="s">
        <v>47</v>
      </c>
      <c r="N59" t="s">
        <v>18</v>
      </c>
    </row>
    <row r="60" spans="1:14" x14ac:dyDescent="0.3">
      <c r="A60">
        <v>25502</v>
      </c>
      <c r="B60" t="s">
        <v>36</v>
      </c>
      <c r="C60" t="s">
        <v>42</v>
      </c>
      <c r="D60">
        <v>40000</v>
      </c>
      <c r="E60">
        <v>1</v>
      </c>
      <c r="F60" t="s">
        <v>13</v>
      </c>
      <c r="G60" t="s">
        <v>14</v>
      </c>
      <c r="H60" t="s">
        <v>15</v>
      </c>
      <c r="I60">
        <v>0</v>
      </c>
      <c r="J60" t="s">
        <v>16</v>
      </c>
      <c r="K60" t="s">
        <v>17</v>
      </c>
      <c r="L60">
        <v>43</v>
      </c>
      <c r="M60" t="s">
        <v>47</v>
      </c>
      <c r="N60" t="s">
        <v>15</v>
      </c>
    </row>
    <row r="61" spans="1:14" x14ac:dyDescent="0.3">
      <c r="A61">
        <v>23801</v>
      </c>
      <c r="B61" t="s">
        <v>36</v>
      </c>
      <c r="C61" t="s">
        <v>42</v>
      </c>
      <c r="D61">
        <v>20000</v>
      </c>
      <c r="E61">
        <v>2</v>
      </c>
      <c r="F61" t="s">
        <v>29</v>
      </c>
      <c r="G61" t="s">
        <v>20</v>
      </c>
      <c r="H61" t="s">
        <v>15</v>
      </c>
      <c r="I61">
        <v>2</v>
      </c>
      <c r="J61" t="s">
        <v>16</v>
      </c>
      <c r="K61" t="s">
        <v>32</v>
      </c>
      <c r="L61">
        <v>49</v>
      </c>
      <c r="M61" t="s">
        <v>47</v>
      </c>
      <c r="N61" t="s">
        <v>18</v>
      </c>
    </row>
    <row r="62" spans="1:14" x14ac:dyDescent="0.3">
      <c r="A62">
        <v>14872</v>
      </c>
      <c r="B62" t="s">
        <v>36</v>
      </c>
      <c r="C62" t="s">
        <v>38</v>
      </c>
      <c r="D62">
        <v>30000</v>
      </c>
      <c r="E62">
        <v>0</v>
      </c>
      <c r="F62" t="s">
        <v>31</v>
      </c>
      <c r="G62" t="s">
        <v>14</v>
      </c>
      <c r="H62" t="s">
        <v>15</v>
      </c>
      <c r="I62">
        <v>0</v>
      </c>
      <c r="J62" t="s">
        <v>16</v>
      </c>
      <c r="K62" t="s">
        <v>32</v>
      </c>
      <c r="L62">
        <v>32</v>
      </c>
      <c r="M62" t="s">
        <v>47</v>
      </c>
      <c r="N62" t="s">
        <v>18</v>
      </c>
    </row>
    <row r="63" spans="1:14" x14ac:dyDescent="0.3">
      <c r="A63">
        <v>19291</v>
      </c>
      <c r="B63" t="s">
        <v>37</v>
      </c>
      <c r="C63" t="s">
        <v>42</v>
      </c>
      <c r="D63">
        <v>10000</v>
      </c>
      <c r="E63">
        <v>2</v>
      </c>
      <c r="F63" t="s">
        <v>27</v>
      </c>
      <c r="G63" t="s">
        <v>25</v>
      </c>
      <c r="H63" t="s">
        <v>15</v>
      </c>
      <c r="I63">
        <v>0</v>
      </c>
      <c r="J63" t="s">
        <v>16</v>
      </c>
      <c r="K63" t="s">
        <v>17</v>
      </c>
      <c r="L63">
        <v>35</v>
      </c>
      <c r="M63" t="s">
        <v>47</v>
      </c>
      <c r="N63" t="s">
        <v>18</v>
      </c>
    </row>
    <row r="64" spans="1:14" x14ac:dyDescent="0.3">
      <c r="A64">
        <v>16713</v>
      </c>
      <c r="B64" t="s">
        <v>36</v>
      </c>
      <c r="C64" t="s">
        <v>38</v>
      </c>
      <c r="D64">
        <v>40000</v>
      </c>
      <c r="E64">
        <v>2</v>
      </c>
      <c r="F64" t="s">
        <v>13</v>
      </c>
      <c r="G64" t="s">
        <v>28</v>
      </c>
      <c r="H64" t="s">
        <v>15</v>
      </c>
      <c r="I64">
        <v>1</v>
      </c>
      <c r="J64" t="s">
        <v>16</v>
      </c>
      <c r="K64" t="s">
        <v>24</v>
      </c>
      <c r="L64">
        <v>52</v>
      </c>
      <c r="M64" t="s">
        <v>47</v>
      </c>
      <c r="N64" t="s">
        <v>15</v>
      </c>
    </row>
    <row r="65" spans="1:14" x14ac:dyDescent="0.3">
      <c r="A65">
        <v>11275</v>
      </c>
      <c r="B65" t="s">
        <v>36</v>
      </c>
      <c r="C65" t="s">
        <v>42</v>
      </c>
      <c r="D65">
        <v>80000</v>
      </c>
      <c r="E65">
        <v>4</v>
      </c>
      <c r="F65" t="s">
        <v>31</v>
      </c>
      <c r="G65" t="s">
        <v>28</v>
      </c>
      <c r="H65" t="s">
        <v>15</v>
      </c>
      <c r="I65">
        <v>2</v>
      </c>
      <c r="J65" t="s">
        <v>16</v>
      </c>
      <c r="K65" t="s">
        <v>32</v>
      </c>
      <c r="L65">
        <v>72</v>
      </c>
      <c r="M65" t="s">
        <v>48</v>
      </c>
      <c r="N65" t="s">
        <v>15</v>
      </c>
    </row>
    <row r="66" spans="1:14" x14ac:dyDescent="0.3">
      <c r="A66">
        <v>14927</v>
      </c>
      <c r="B66" t="s">
        <v>36</v>
      </c>
      <c r="C66" t="s">
        <v>42</v>
      </c>
      <c r="D66">
        <v>30000</v>
      </c>
      <c r="E66">
        <v>1</v>
      </c>
      <c r="F66" t="s">
        <v>13</v>
      </c>
      <c r="G66" t="s">
        <v>20</v>
      </c>
      <c r="H66" t="s">
        <v>15</v>
      </c>
      <c r="I66">
        <v>0</v>
      </c>
      <c r="J66" t="s">
        <v>16</v>
      </c>
      <c r="K66" t="s">
        <v>17</v>
      </c>
      <c r="L66">
        <v>37</v>
      </c>
      <c r="M66" t="s">
        <v>47</v>
      </c>
      <c r="N66" t="s">
        <v>15</v>
      </c>
    </row>
    <row r="67" spans="1:14" x14ac:dyDescent="0.3">
      <c r="A67">
        <v>28066</v>
      </c>
      <c r="B67" t="s">
        <v>36</v>
      </c>
      <c r="C67" t="s">
        <v>38</v>
      </c>
      <c r="D67">
        <v>80000</v>
      </c>
      <c r="E67">
        <v>2</v>
      </c>
      <c r="F67" t="s">
        <v>31</v>
      </c>
      <c r="G67" t="s">
        <v>21</v>
      </c>
      <c r="H67" t="s">
        <v>15</v>
      </c>
      <c r="I67">
        <v>0</v>
      </c>
      <c r="J67" t="s">
        <v>16</v>
      </c>
      <c r="K67" t="s">
        <v>32</v>
      </c>
      <c r="L67">
        <v>37</v>
      </c>
      <c r="M67" t="s">
        <v>47</v>
      </c>
      <c r="N67" t="s">
        <v>15</v>
      </c>
    </row>
    <row r="68" spans="1:14" x14ac:dyDescent="0.3">
      <c r="A68">
        <v>29355</v>
      </c>
      <c r="B68" t="s">
        <v>36</v>
      </c>
      <c r="C68" t="s">
        <v>42</v>
      </c>
      <c r="D68">
        <v>40000</v>
      </c>
      <c r="E68">
        <v>0</v>
      </c>
      <c r="F68" t="s">
        <v>31</v>
      </c>
      <c r="G68" t="s">
        <v>20</v>
      </c>
      <c r="H68" t="s">
        <v>15</v>
      </c>
      <c r="I68">
        <v>0</v>
      </c>
      <c r="J68" t="s">
        <v>16</v>
      </c>
      <c r="K68" t="s">
        <v>17</v>
      </c>
      <c r="L68">
        <v>37</v>
      </c>
      <c r="M68" t="s">
        <v>47</v>
      </c>
      <c r="N68" t="s">
        <v>15</v>
      </c>
    </row>
    <row r="69" spans="1:14" x14ac:dyDescent="0.3">
      <c r="A69">
        <v>18322</v>
      </c>
      <c r="B69" t="s">
        <v>37</v>
      </c>
      <c r="C69" t="s">
        <v>38</v>
      </c>
      <c r="D69">
        <v>30000</v>
      </c>
      <c r="E69">
        <v>0</v>
      </c>
      <c r="F69" t="s">
        <v>29</v>
      </c>
      <c r="G69" t="s">
        <v>20</v>
      </c>
      <c r="H69" t="s">
        <v>18</v>
      </c>
      <c r="I69">
        <v>2</v>
      </c>
      <c r="J69" t="s">
        <v>16</v>
      </c>
      <c r="K69" t="s">
        <v>32</v>
      </c>
      <c r="L69">
        <v>26</v>
      </c>
      <c r="M69" t="s">
        <v>49</v>
      </c>
      <c r="N69" t="s">
        <v>18</v>
      </c>
    </row>
    <row r="70" spans="1:14" x14ac:dyDescent="0.3">
      <c r="A70">
        <v>14813</v>
      </c>
      <c r="B70" t="s">
        <v>37</v>
      </c>
      <c r="C70" t="s">
        <v>42</v>
      </c>
      <c r="D70">
        <v>20000</v>
      </c>
      <c r="E70">
        <v>4</v>
      </c>
      <c r="F70" t="s">
        <v>27</v>
      </c>
      <c r="G70" t="s">
        <v>25</v>
      </c>
      <c r="H70" t="s">
        <v>15</v>
      </c>
      <c r="I70">
        <v>1</v>
      </c>
      <c r="J70" t="s">
        <v>16</v>
      </c>
      <c r="K70" t="s">
        <v>17</v>
      </c>
      <c r="L70">
        <v>43</v>
      </c>
      <c r="M70" t="s">
        <v>47</v>
      </c>
      <c r="N70" t="s">
        <v>15</v>
      </c>
    </row>
    <row r="71" spans="1:14" x14ac:dyDescent="0.3">
      <c r="A71">
        <v>16438</v>
      </c>
      <c r="B71" t="s">
        <v>36</v>
      </c>
      <c r="C71" t="s">
        <v>42</v>
      </c>
      <c r="D71">
        <v>10000</v>
      </c>
      <c r="E71">
        <v>0</v>
      </c>
      <c r="F71" t="s">
        <v>29</v>
      </c>
      <c r="G71" t="s">
        <v>25</v>
      </c>
      <c r="H71" t="s">
        <v>18</v>
      </c>
      <c r="I71">
        <v>2</v>
      </c>
      <c r="J71" t="s">
        <v>16</v>
      </c>
      <c r="K71" t="s">
        <v>17</v>
      </c>
      <c r="L71">
        <v>30</v>
      </c>
      <c r="M71" t="s">
        <v>49</v>
      </c>
      <c r="N71" t="s">
        <v>18</v>
      </c>
    </row>
    <row r="72" spans="1:14" x14ac:dyDescent="0.3">
      <c r="A72">
        <v>13942</v>
      </c>
      <c r="B72" t="s">
        <v>36</v>
      </c>
      <c r="C72" t="s">
        <v>38</v>
      </c>
      <c r="D72">
        <v>60000</v>
      </c>
      <c r="E72">
        <v>1</v>
      </c>
      <c r="F72" t="s">
        <v>19</v>
      </c>
      <c r="G72" t="s">
        <v>14</v>
      </c>
      <c r="H72" t="s">
        <v>15</v>
      </c>
      <c r="I72">
        <v>1</v>
      </c>
      <c r="J72" t="s">
        <v>16</v>
      </c>
      <c r="K72" t="s">
        <v>32</v>
      </c>
      <c r="L72">
        <v>46</v>
      </c>
      <c r="M72" t="s">
        <v>47</v>
      </c>
      <c r="N72" t="s">
        <v>18</v>
      </c>
    </row>
    <row r="73" spans="1:14" x14ac:dyDescent="0.3">
      <c r="A73">
        <v>16200</v>
      </c>
      <c r="B73" t="s">
        <v>37</v>
      </c>
      <c r="C73" t="s">
        <v>42</v>
      </c>
      <c r="D73">
        <v>10000</v>
      </c>
      <c r="E73">
        <v>0</v>
      </c>
      <c r="F73" t="s">
        <v>29</v>
      </c>
      <c r="G73" t="s">
        <v>25</v>
      </c>
      <c r="H73" t="s">
        <v>18</v>
      </c>
      <c r="I73">
        <v>2</v>
      </c>
      <c r="J73" t="s">
        <v>16</v>
      </c>
      <c r="K73" t="s">
        <v>17</v>
      </c>
      <c r="L73">
        <v>35</v>
      </c>
      <c r="M73" t="s">
        <v>47</v>
      </c>
      <c r="N73" t="s">
        <v>18</v>
      </c>
    </row>
    <row r="74" spans="1:14" x14ac:dyDescent="0.3">
      <c r="A74">
        <v>24857</v>
      </c>
      <c r="B74" t="s">
        <v>36</v>
      </c>
      <c r="C74" t="s">
        <v>42</v>
      </c>
      <c r="D74">
        <v>130000</v>
      </c>
      <c r="E74">
        <v>3</v>
      </c>
      <c r="F74" t="s">
        <v>27</v>
      </c>
      <c r="G74" t="s">
        <v>21</v>
      </c>
      <c r="H74" t="s">
        <v>15</v>
      </c>
      <c r="I74">
        <v>4</v>
      </c>
      <c r="J74" t="s">
        <v>16</v>
      </c>
      <c r="K74" t="s">
        <v>17</v>
      </c>
      <c r="L74">
        <v>52</v>
      </c>
      <c r="M74" t="s">
        <v>47</v>
      </c>
      <c r="N74" t="s">
        <v>18</v>
      </c>
    </row>
    <row r="75" spans="1:14" x14ac:dyDescent="0.3">
      <c r="A75">
        <v>22046</v>
      </c>
      <c r="B75" t="s">
        <v>37</v>
      </c>
      <c r="C75" t="s">
        <v>42</v>
      </c>
      <c r="D75">
        <v>80000</v>
      </c>
      <c r="E75">
        <v>0</v>
      </c>
      <c r="F75" t="s">
        <v>13</v>
      </c>
      <c r="G75" t="s">
        <v>28</v>
      </c>
      <c r="H75" t="s">
        <v>18</v>
      </c>
      <c r="I75">
        <v>1</v>
      </c>
      <c r="J75" t="s">
        <v>16</v>
      </c>
      <c r="K75" t="s">
        <v>32</v>
      </c>
      <c r="L75">
        <v>38</v>
      </c>
      <c r="M75" t="s">
        <v>47</v>
      </c>
      <c r="N75" t="s">
        <v>15</v>
      </c>
    </row>
    <row r="76" spans="1:14" x14ac:dyDescent="0.3">
      <c r="A76">
        <v>18783</v>
      </c>
      <c r="B76" t="s">
        <v>37</v>
      </c>
      <c r="C76" t="s">
        <v>38</v>
      </c>
      <c r="D76">
        <v>80000</v>
      </c>
      <c r="E76">
        <v>0</v>
      </c>
      <c r="F76" t="s">
        <v>13</v>
      </c>
      <c r="G76" t="s">
        <v>28</v>
      </c>
      <c r="H76" t="s">
        <v>18</v>
      </c>
      <c r="I76">
        <v>1</v>
      </c>
      <c r="J76" t="s">
        <v>16</v>
      </c>
      <c r="K76" t="s">
        <v>32</v>
      </c>
      <c r="L76">
        <v>38</v>
      </c>
      <c r="M76" t="s">
        <v>47</v>
      </c>
      <c r="N76" t="s">
        <v>15</v>
      </c>
    </row>
    <row r="77" spans="1:14" x14ac:dyDescent="0.3">
      <c r="A77">
        <v>12678</v>
      </c>
      <c r="B77" t="s">
        <v>37</v>
      </c>
      <c r="C77" t="s">
        <v>42</v>
      </c>
      <c r="D77">
        <v>130000</v>
      </c>
      <c r="E77">
        <v>4</v>
      </c>
      <c r="F77" t="s">
        <v>27</v>
      </c>
      <c r="G77" t="s">
        <v>28</v>
      </c>
      <c r="H77" t="s">
        <v>15</v>
      </c>
      <c r="I77">
        <v>4</v>
      </c>
      <c r="J77" t="s">
        <v>16</v>
      </c>
      <c r="K77" t="s">
        <v>24</v>
      </c>
      <c r="L77">
        <v>31</v>
      </c>
      <c r="M77" t="s">
        <v>47</v>
      </c>
      <c r="N77" t="s">
        <v>18</v>
      </c>
    </row>
    <row r="78" spans="1:14" x14ac:dyDescent="0.3">
      <c r="A78">
        <v>19147</v>
      </c>
      <c r="B78" t="s">
        <v>36</v>
      </c>
      <c r="C78" t="s">
        <v>38</v>
      </c>
      <c r="D78">
        <v>40000</v>
      </c>
      <c r="E78">
        <v>0</v>
      </c>
      <c r="F78" t="s">
        <v>13</v>
      </c>
      <c r="G78" t="s">
        <v>21</v>
      </c>
      <c r="H78" t="s">
        <v>18</v>
      </c>
      <c r="I78">
        <v>1</v>
      </c>
      <c r="J78" t="s">
        <v>16</v>
      </c>
      <c r="K78" t="s">
        <v>32</v>
      </c>
      <c r="L78">
        <v>42</v>
      </c>
      <c r="M78" t="s">
        <v>47</v>
      </c>
      <c r="N78" t="s">
        <v>18</v>
      </c>
    </row>
    <row r="79" spans="1:14" x14ac:dyDescent="0.3">
      <c r="A79">
        <v>11745</v>
      </c>
      <c r="B79" t="s">
        <v>36</v>
      </c>
      <c r="C79" t="s">
        <v>42</v>
      </c>
      <c r="D79">
        <v>60000</v>
      </c>
      <c r="E79">
        <v>1</v>
      </c>
      <c r="F79" t="s">
        <v>13</v>
      </c>
      <c r="G79" t="s">
        <v>21</v>
      </c>
      <c r="H79" t="s">
        <v>15</v>
      </c>
      <c r="I79">
        <v>1</v>
      </c>
      <c r="J79" t="s">
        <v>16</v>
      </c>
      <c r="K79" t="s">
        <v>32</v>
      </c>
      <c r="L79">
        <v>47</v>
      </c>
      <c r="M79" t="s">
        <v>47</v>
      </c>
      <c r="N79" t="s">
        <v>15</v>
      </c>
    </row>
    <row r="80" spans="1:14" x14ac:dyDescent="0.3">
      <c r="A80">
        <v>21613</v>
      </c>
      <c r="B80" t="s">
        <v>37</v>
      </c>
      <c r="C80" t="s">
        <v>38</v>
      </c>
      <c r="D80">
        <v>50000</v>
      </c>
      <c r="E80">
        <v>2</v>
      </c>
      <c r="F80" t="s">
        <v>13</v>
      </c>
      <c r="G80" t="s">
        <v>14</v>
      </c>
      <c r="H80" t="s">
        <v>18</v>
      </c>
      <c r="I80">
        <v>1</v>
      </c>
      <c r="J80" t="s">
        <v>16</v>
      </c>
      <c r="K80" t="s">
        <v>32</v>
      </c>
      <c r="L80">
        <v>39</v>
      </c>
      <c r="M80" t="s">
        <v>47</v>
      </c>
      <c r="N80" t="s">
        <v>15</v>
      </c>
    </row>
    <row r="81" spans="1:14" x14ac:dyDescent="0.3">
      <c r="A81">
        <v>12205</v>
      </c>
      <c r="B81" t="s">
        <v>37</v>
      </c>
      <c r="C81" t="s">
        <v>42</v>
      </c>
      <c r="D81">
        <v>130000</v>
      </c>
      <c r="E81">
        <v>2</v>
      </c>
      <c r="F81" t="s">
        <v>13</v>
      </c>
      <c r="G81" t="s">
        <v>28</v>
      </c>
      <c r="H81" t="s">
        <v>18</v>
      </c>
      <c r="I81">
        <v>4</v>
      </c>
      <c r="J81" t="s">
        <v>16</v>
      </c>
      <c r="K81" t="s">
        <v>32</v>
      </c>
      <c r="L81">
        <v>67</v>
      </c>
      <c r="M81" t="s">
        <v>48</v>
      </c>
      <c r="N81" t="s">
        <v>18</v>
      </c>
    </row>
    <row r="82" spans="1:14" x14ac:dyDescent="0.3">
      <c r="A82">
        <v>20828</v>
      </c>
      <c r="B82" t="s">
        <v>36</v>
      </c>
      <c r="C82" t="s">
        <v>42</v>
      </c>
      <c r="D82">
        <v>30000</v>
      </c>
      <c r="E82">
        <v>4</v>
      </c>
      <c r="F82" t="s">
        <v>31</v>
      </c>
      <c r="G82" t="s">
        <v>20</v>
      </c>
      <c r="H82" t="s">
        <v>15</v>
      </c>
      <c r="I82">
        <v>0</v>
      </c>
      <c r="J82" t="s">
        <v>16</v>
      </c>
      <c r="K82" t="s">
        <v>17</v>
      </c>
      <c r="L82">
        <v>45</v>
      </c>
      <c r="M82" t="s">
        <v>47</v>
      </c>
      <c r="N82" t="s">
        <v>15</v>
      </c>
    </row>
    <row r="83" spans="1:14" x14ac:dyDescent="0.3">
      <c r="A83">
        <v>19461</v>
      </c>
      <c r="B83" t="s">
        <v>37</v>
      </c>
      <c r="C83" t="s">
        <v>42</v>
      </c>
      <c r="D83">
        <v>10000</v>
      </c>
      <c r="E83">
        <v>4</v>
      </c>
      <c r="F83" t="s">
        <v>29</v>
      </c>
      <c r="G83" t="s">
        <v>25</v>
      </c>
      <c r="H83" t="s">
        <v>15</v>
      </c>
      <c r="I83">
        <v>2</v>
      </c>
      <c r="J83" t="s">
        <v>16</v>
      </c>
      <c r="K83" t="s">
        <v>17</v>
      </c>
      <c r="L83">
        <v>40</v>
      </c>
      <c r="M83" t="s">
        <v>47</v>
      </c>
      <c r="N83" t="s">
        <v>18</v>
      </c>
    </row>
    <row r="84" spans="1:14" x14ac:dyDescent="0.3">
      <c r="A84">
        <v>26941</v>
      </c>
      <c r="B84" t="s">
        <v>36</v>
      </c>
      <c r="C84" t="s">
        <v>38</v>
      </c>
      <c r="D84">
        <v>30000</v>
      </c>
      <c r="E84">
        <v>0</v>
      </c>
      <c r="F84" t="s">
        <v>13</v>
      </c>
      <c r="G84" t="s">
        <v>20</v>
      </c>
      <c r="H84" t="s">
        <v>15</v>
      </c>
      <c r="I84">
        <v>0</v>
      </c>
      <c r="J84" t="s">
        <v>16</v>
      </c>
      <c r="K84" t="s">
        <v>17</v>
      </c>
      <c r="L84">
        <v>47</v>
      </c>
      <c r="M84" t="s">
        <v>47</v>
      </c>
      <c r="N84" t="s">
        <v>15</v>
      </c>
    </row>
    <row r="85" spans="1:14" x14ac:dyDescent="0.3">
      <c r="A85">
        <v>13176</v>
      </c>
      <c r="B85" t="s">
        <v>37</v>
      </c>
      <c r="C85" t="s">
        <v>38</v>
      </c>
      <c r="D85">
        <v>130000</v>
      </c>
      <c r="E85">
        <v>0</v>
      </c>
      <c r="F85" t="s">
        <v>31</v>
      </c>
      <c r="G85" t="s">
        <v>28</v>
      </c>
      <c r="H85" t="s">
        <v>18</v>
      </c>
      <c r="I85">
        <v>2</v>
      </c>
      <c r="J85" t="s">
        <v>16</v>
      </c>
      <c r="K85" t="s">
        <v>32</v>
      </c>
      <c r="L85">
        <v>38</v>
      </c>
      <c r="M85" t="s">
        <v>47</v>
      </c>
      <c r="N85" t="s">
        <v>15</v>
      </c>
    </row>
    <row r="86" spans="1:14" x14ac:dyDescent="0.3">
      <c r="A86">
        <v>23882</v>
      </c>
      <c r="B86" t="s">
        <v>37</v>
      </c>
      <c r="C86" t="s">
        <v>42</v>
      </c>
      <c r="D86">
        <v>80000</v>
      </c>
      <c r="E86">
        <v>3</v>
      </c>
      <c r="F86" t="s">
        <v>31</v>
      </c>
      <c r="G86" t="s">
        <v>21</v>
      </c>
      <c r="H86" t="s">
        <v>15</v>
      </c>
      <c r="I86">
        <v>0</v>
      </c>
      <c r="J86" t="s">
        <v>16</v>
      </c>
      <c r="K86" t="s">
        <v>32</v>
      </c>
      <c r="L86">
        <v>37</v>
      </c>
      <c r="M86" t="s">
        <v>47</v>
      </c>
      <c r="N86" t="s">
        <v>15</v>
      </c>
    </row>
    <row r="87" spans="1:14" x14ac:dyDescent="0.3">
      <c r="A87">
        <v>16773</v>
      </c>
      <c r="B87" t="s">
        <v>36</v>
      </c>
      <c r="C87" t="s">
        <v>38</v>
      </c>
      <c r="D87">
        <v>60000</v>
      </c>
      <c r="E87">
        <v>1</v>
      </c>
      <c r="F87" t="s">
        <v>31</v>
      </c>
      <c r="G87" t="s">
        <v>14</v>
      </c>
      <c r="H87" t="s">
        <v>15</v>
      </c>
      <c r="I87">
        <v>0</v>
      </c>
      <c r="J87" t="s">
        <v>16</v>
      </c>
      <c r="K87" t="s">
        <v>32</v>
      </c>
      <c r="L87">
        <v>33</v>
      </c>
      <c r="M87" t="s">
        <v>47</v>
      </c>
      <c r="N87" t="s">
        <v>18</v>
      </c>
    </row>
    <row r="88" spans="1:14" x14ac:dyDescent="0.3">
      <c r="A88">
        <v>17191</v>
      </c>
      <c r="B88" t="s">
        <v>37</v>
      </c>
      <c r="C88" t="s">
        <v>38</v>
      </c>
      <c r="D88">
        <v>130000</v>
      </c>
      <c r="E88">
        <v>3</v>
      </c>
      <c r="F88" t="s">
        <v>19</v>
      </c>
      <c r="G88" t="s">
        <v>21</v>
      </c>
      <c r="H88" t="s">
        <v>18</v>
      </c>
      <c r="I88">
        <v>3</v>
      </c>
      <c r="J88" t="s">
        <v>16</v>
      </c>
      <c r="K88" t="s">
        <v>17</v>
      </c>
      <c r="L88">
        <v>51</v>
      </c>
      <c r="M88" t="s">
        <v>47</v>
      </c>
      <c r="N88" t="s">
        <v>15</v>
      </c>
    </row>
    <row r="89" spans="1:14" x14ac:dyDescent="0.3">
      <c r="A89">
        <v>27540</v>
      </c>
      <c r="B89" t="s">
        <v>37</v>
      </c>
      <c r="C89" t="s">
        <v>42</v>
      </c>
      <c r="D89">
        <v>70000</v>
      </c>
      <c r="E89">
        <v>0</v>
      </c>
      <c r="F89" t="s">
        <v>13</v>
      </c>
      <c r="G89" t="s">
        <v>21</v>
      </c>
      <c r="H89" t="s">
        <v>18</v>
      </c>
      <c r="I89">
        <v>1</v>
      </c>
      <c r="J89" t="s">
        <v>16</v>
      </c>
      <c r="K89" t="s">
        <v>32</v>
      </c>
      <c r="L89">
        <v>37</v>
      </c>
      <c r="M89" t="s">
        <v>47</v>
      </c>
      <c r="N89" t="s">
        <v>15</v>
      </c>
    </row>
    <row r="90" spans="1:14" x14ac:dyDescent="0.3">
      <c r="A90">
        <v>18572</v>
      </c>
      <c r="B90" t="s">
        <v>36</v>
      </c>
      <c r="C90" t="s">
        <v>42</v>
      </c>
      <c r="D90">
        <v>60000</v>
      </c>
      <c r="E90">
        <v>0</v>
      </c>
      <c r="F90" t="s">
        <v>31</v>
      </c>
      <c r="G90" t="s">
        <v>21</v>
      </c>
      <c r="H90" t="s">
        <v>15</v>
      </c>
      <c r="I90">
        <v>0</v>
      </c>
      <c r="J90" t="s">
        <v>16</v>
      </c>
      <c r="K90" t="s">
        <v>32</v>
      </c>
      <c r="L90">
        <v>39</v>
      </c>
      <c r="M90" t="s">
        <v>47</v>
      </c>
      <c r="N90" t="s">
        <v>18</v>
      </c>
    </row>
    <row r="91" spans="1:14" x14ac:dyDescent="0.3">
      <c r="A91">
        <v>19163</v>
      </c>
      <c r="B91" t="s">
        <v>36</v>
      </c>
      <c r="C91" t="s">
        <v>42</v>
      </c>
      <c r="D91">
        <v>70000</v>
      </c>
      <c r="E91">
        <v>4</v>
      </c>
      <c r="F91" t="s">
        <v>13</v>
      </c>
      <c r="G91" t="s">
        <v>21</v>
      </c>
      <c r="H91" t="s">
        <v>15</v>
      </c>
      <c r="I91">
        <v>2</v>
      </c>
      <c r="J91" t="s">
        <v>16</v>
      </c>
      <c r="K91" t="s">
        <v>32</v>
      </c>
      <c r="L91">
        <v>43</v>
      </c>
      <c r="M91" t="s">
        <v>47</v>
      </c>
      <c r="N91" t="s">
        <v>15</v>
      </c>
    </row>
    <row r="92" spans="1:14" x14ac:dyDescent="0.3">
      <c r="A92">
        <v>26886</v>
      </c>
      <c r="B92" t="s">
        <v>37</v>
      </c>
      <c r="C92" t="s">
        <v>42</v>
      </c>
      <c r="D92">
        <v>30000</v>
      </c>
      <c r="E92">
        <v>0</v>
      </c>
      <c r="F92" t="s">
        <v>19</v>
      </c>
      <c r="G92" t="s">
        <v>20</v>
      </c>
      <c r="H92" t="s">
        <v>18</v>
      </c>
      <c r="I92">
        <v>1</v>
      </c>
      <c r="J92" t="s">
        <v>16</v>
      </c>
      <c r="K92" t="s">
        <v>17</v>
      </c>
      <c r="L92">
        <v>29</v>
      </c>
      <c r="M92" t="s">
        <v>49</v>
      </c>
      <c r="N92" t="s">
        <v>15</v>
      </c>
    </row>
    <row r="93" spans="1:14" x14ac:dyDescent="0.3">
      <c r="A93">
        <v>28436</v>
      </c>
      <c r="B93" t="s">
        <v>37</v>
      </c>
      <c r="C93" t="s">
        <v>38</v>
      </c>
      <c r="D93">
        <v>30000</v>
      </c>
      <c r="E93">
        <v>0</v>
      </c>
      <c r="F93" t="s">
        <v>19</v>
      </c>
      <c r="G93" t="s">
        <v>20</v>
      </c>
      <c r="H93" t="s">
        <v>18</v>
      </c>
      <c r="I93">
        <v>1</v>
      </c>
      <c r="J93" t="s">
        <v>16</v>
      </c>
      <c r="K93" t="s">
        <v>17</v>
      </c>
      <c r="L93">
        <v>30</v>
      </c>
      <c r="M93" t="s">
        <v>49</v>
      </c>
      <c r="N93" t="s">
        <v>15</v>
      </c>
    </row>
    <row r="94" spans="1:14" x14ac:dyDescent="0.3">
      <c r="A94">
        <v>16009</v>
      </c>
      <c r="B94" t="s">
        <v>37</v>
      </c>
      <c r="C94" t="s">
        <v>38</v>
      </c>
      <c r="D94">
        <v>170000</v>
      </c>
      <c r="E94">
        <v>1</v>
      </c>
      <c r="F94" t="s">
        <v>31</v>
      </c>
      <c r="G94" t="s">
        <v>28</v>
      </c>
      <c r="H94" t="s">
        <v>18</v>
      </c>
      <c r="I94">
        <v>4</v>
      </c>
      <c r="J94" t="s">
        <v>16</v>
      </c>
      <c r="K94" t="s">
        <v>32</v>
      </c>
      <c r="L94">
        <v>66</v>
      </c>
      <c r="M94" t="s">
        <v>48</v>
      </c>
      <c r="N94" t="s">
        <v>18</v>
      </c>
    </row>
    <row r="95" spans="1:14" x14ac:dyDescent="0.3">
      <c r="A95">
        <v>29048</v>
      </c>
      <c r="B95" t="s">
        <v>37</v>
      </c>
      <c r="C95" t="s">
        <v>38</v>
      </c>
      <c r="D95">
        <v>110000</v>
      </c>
      <c r="E95">
        <v>2</v>
      </c>
      <c r="F95" t="s">
        <v>13</v>
      </c>
      <c r="G95" t="s">
        <v>28</v>
      </c>
      <c r="H95" t="s">
        <v>18</v>
      </c>
      <c r="I95">
        <v>3</v>
      </c>
      <c r="J95" t="s">
        <v>16</v>
      </c>
      <c r="K95" t="s">
        <v>32</v>
      </c>
      <c r="L95">
        <v>37</v>
      </c>
      <c r="M95" t="s">
        <v>47</v>
      </c>
      <c r="N95" t="s">
        <v>15</v>
      </c>
    </row>
    <row r="96" spans="1:14" x14ac:dyDescent="0.3">
      <c r="A96">
        <v>13154</v>
      </c>
      <c r="B96" t="s">
        <v>36</v>
      </c>
      <c r="C96" t="s">
        <v>38</v>
      </c>
      <c r="D96">
        <v>40000</v>
      </c>
      <c r="E96">
        <v>0</v>
      </c>
      <c r="F96" t="s">
        <v>27</v>
      </c>
      <c r="G96" t="s">
        <v>14</v>
      </c>
      <c r="H96" t="s">
        <v>18</v>
      </c>
      <c r="I96">
        <v>2</v>
      </c>
      <c r="J96" t="s">
        <v>16</v>
      </c>
      <c r="K96" t="s">
        <v>32</v>
      </c>
      <c r="L96">
        <v>27</v>
      </c>
      <c r="M96" t="s">
        <v>49</v>
      </c>
      <c r="N96" t="s">
        <v>15</v>
      </c>
    </row>
    <row r="97" spans="1:14" x14ac:dyDescent="0.3">
      <c r="A97">
        <v>22971</v>
      </c>
      <c r="B97" t="s">
        <v>37</v>
      </c>
      <c r="C97" t="s">
        <v>42</v>
      </c>
      <c r="D97">
        <v>30000</v>
      </c>
      <c r="E97">
        <v>0</v>
      </c>
      <c r="F97" t="s">
        <v>27</v>
      </c>
      <c r="G97" t="s">
        <v>14</v>
      </c>
      <c r="H97" t="s">
        <v>18</v>
      </c>
      <c r="I97">
        <v>2</v>
      </c>
      <c r="J97" t="s">
        <v>16</v>
      </c>
      <c r="K97" t="s">
        <v>32</v>
      </c>
      <c r="L97">
        <v>25</v>
      </c>
      <c r="M97" t="s">
        <v>49</v>
      </c>
      <c r="N97" t="s">
        <v>15</v>
      </c>
    </row>
    <row r="98" spans="1:14" x14ac:dyDescent="0.3">
      <c r="A98">
        <v>12507</v>
      </c>
      <c r="B98" t="s">
        <v>36</v>
      </c>
      <c r="C98" t="s">
        <v>38</v>
      </c>
      <c r="D98">
        <v>30000</v>
      </c>
      <c r="E98">
        <v>1</v>
      </c>
      <c r="F98" t="s">
        <v>19</v>
      </c>
      <c r="G98" t="s">
        <v>20</v>
      </c>
      <c r="H98" t="s">
        <v>15</v>
      </c>
      <c r="I98">
        <v>1</v>
      </c>
      <c r="J98" t="s">
        <v>16</v>
      </c>
      <c r="K98" t="s">
        <v>17</v>
      </c>
      <c r="L98">
        <v>43</v>
      </c>
      <c r="M98" t="s">
        <v>47</v>
      </c>
      <c r="N98" t="s">
        <v>18</v>
      </c>
    </row>
    <row r="99" spans="1:14" x14ac:dyDescent="0.3">
      <c r="A99">
        <v>23940</v>
      </c>
      <c r="B99" t="s">
        <v>36</v>
      </c>
      <c r="C99" t="s">
        <v>38</v>
      </c>
      <c r="D99">
        <v>40000</v>
      </c>
      <c r="E99">
        <v>1</v>
      </c>
      <c r="F99" t="s">
        <v>13</v>
      </c>
      <c r="G99" t="s">
        <v>14</v>
      </c>
      <c r="H99" t="s">
        <v>15</v>
      </c>
      <c r="I99">
        <v>1</v>
      </c>
      <c r="J99" t="s">
        <v>16</v>
      </c>
      <c r="K99" t="s">
        <v>17</v>
      </c>
      <c r="L99">
        <v>44</v>
      </c>
      <c r="M99" t="s">
        <v>47</v>
      </c>
      <c r="N99" t="s">
        <v>15</v>
      </c>
    </row>
    <row r="100" spans="1:14" x14ac:dyDescent="0.3">
      <c r="A100">
        <v>19441</v>
      </c>
      <c r="B100" t="s">
        <v>36</v>
      </c>
      <c r="C100" t="s">
        <v>38</v>
      </c>
      <c r="D100">
        <v>40000</v>
      </c>
      <c r="E100">
        <v>0</v>
      </c>
      <c r="F100" t="s">
        <v>31</v>
      </c>
      <c r="G100" t="s">
        <v>20</v>
      </c>
      <c r="H100" t="s">
        <v>15</v>
      </c>
      <c r="I100">
        <v>0</v>
      </c>
      <c r="J100" t="s">
        <v>16</v>
      </c>
      <c r="K100" t="s">
        <v>17</v>
      </c>
      <c r="L100">
        <v>25</v>
      </c>
      <c r="M100" t="s">
        <v>49</v>
      </c>
      <c r="N100" t="s">
        <v>15</v>
      </c>
    </row>
    <row r="101" spans="1:14" x14ac:dyDescent="0.3">
      <c r="A101">
        <v>26852</v>
      </c>
      <c r="B101" t="s">
        <v>36</v>
      </c>
      <c r="C101" t="s">
        <v>42</v>
      </c>
      <c r="D101">
        <v>20000</v>
      </c>
      <c r="E101">
        <v>3</v>
      </c>
      <c r="F101" t="s">
        <v>27</v>
      </c>
      <c r="G101" t="s">
        <v>25</v>
      </c>
      <c r="H101" t="s">
        <v>15</v>
      </c>
      <c r="I101">
        <v>2</v>
      </c>
      <c r="J101" t="s">
        <v>16</v>
      </c>
      <c r="K101" t="s">
        <v>17</v>
      </c>
      <c r="L101">
        <v>43</v>
      </c>
      <c r="M101" t="s">
        <v>47</v>
      </c>
      <c r="N101" t="s">
        <v>18</v>
      </c>
    </row>
    <row r="102" spans="1:14" x14ac:dyDescent="0.3">
      <c r="A102">
        <v>12274</v>
      </c>
      <c r="B102" t="s">
        <v>37</v>
      </c>
      <c r="C102" t="s">
        <v>38</v>
      </c>
      <c r="D102">
        <v>10000</v>
      </c>
      <c r="E102">
        <v>2</v>
      </c>
      <c r="F102" t="s">
        <v>27</v>
      </c>
      <c r="G102" t="s">
        <v>25</v>
      </c>
      <c r="H102" t="s">
        <v>15</v>
      </c>
      <c r="I102">
        <v>0</v>
      </c>
      <c r="J102" t="s">
        <v>16</v>
      </c>
      <c r="K102" t="s">
        <v>17</v>
      </c>
      <c r="L102">
        <v>35</v>
      </c>
      <c r="M102" t="s">
        <v>47</v>
      </c>
      <c r="N102" t="s">
        <v>18</v>
      </c>
    </row>
    <row r="103" spans="1:14" x14ac:dyDescent="0.3">
      <c r="A103">
        <v>20236</v>
      </c>
      <c r="B103" t="s">
        <v>37</v>
      </c>
      <c r="C103" t="s">
        <v>38</v>
      </c>
      <c r="D103">
        <v>60000</v>
      </c>
      <c r="E103">
        <v>3</v>
      </c>
      <c r="F103" t="s">
        <v>13</v>
      </c>
      <c r="G103" t="s">
        <v>21</v>
      </c>
      <c r="H103" t="s">
        <v>18</v>
      </c>
      <c r="I103">
        <v>2</v>
      </c>
      <c r="J103" t="s">
        <v>16</v>
      </c>
      <c r="K103" t="s">
        <v>24</v>
      </c>
      <c r="L103">
        <v>43</v>
      </c>
      <c r="M103" t="s">
        <v>47</v>
      </c>
      <c r="N103" t="s">
        <v>15</v>
      </c>
    </row>
    <row r="104" spans="1:14" x14ac:dyDescent="0.3">
      <c r="A104">
        <v>15468</v>
      </c>
      <c r="B104" t="s">
        <v>36</v>
      </c>
      <c r="C104" t="s">
        <v>42</v>
      </c>
      <c r="D104">
        <v>50000</v>
      </c>
      <c r="E104">
        <v>1</v>
      </c>
      <c r="F104" t="s">
        <v>13</v>
      </c>
      <c r="G104" t="s">
        <v>14</v>
      </c>
      <c r="H104" t="s">
        <v>15</v>
      </c>
      <c r="I104">
        <v>1</v>
      </c>
      <c r="J104" t="s">
        <v>16</v>
      </c>
      <c r="K104" t="s">
        <v>32</v>
      </c>
      <c r="L104">
        <v>35</v>
      </c>
      <c r="M104" t="s">
        <v>47</v>
      </c>
      <c r="N104" t="s">
        <v>18</v>
      </c>
    </row>
    <row r="105" spans="1:14" x14ac:dyDescent="0.3">
      <c r="A105">
        <v>24496</v>
      </c>
      <c r="B105" t="s">
        <v>37</v>
      </c>
      <c r="C105" t="s">
        <v>42</v>
      </c>
      <c r="D105">
        <v>40000</v>
      </c>
      <c r="E105">
        <v>0</v>
      </c>
      <c r="F105" t="s">
        <v>27</v>
      </c>
      <c r="G105" t="s">
        <v>14</v>
      </c>
      <c r="H105" t="s">
        <v>18</v>
      </c>
      <c r="I105">
        <v>2</v>
      </c>
      <c r="J105" t="s">
        <v>16</v>
      </c>
      <c r="K105" t="s">
        <v>32</v>
      </c>
      <c r="L105">
        <v>28</v>
      </c>
      <c r="M105" t="s">
        <v>49</v>
      </c>
      <c r="N105" t="s">
        <v>15</v>
      </c>
    </row>
    <row r="106" spans="1:14" x14ac:dyDescent="0.3">
      <c r="A106">
        <v>19660</v>
      </c>
      <c r="B106" t="s">
        <v>36</v>
      </c>
      <c r="C106" t="s">
        <v>38</v>
      </c>
      <c r="D106">
        <v>80000</v>
      </c>
      <c r="E106">
        <v>4</v>
      </c>
      <c r="F106" t="s">
        <v>13</v>
      </c>
      <c r="G106" t="s">
        <v>28</v>
      </c>
      <c r="H106" t="s">
        <v>15</v>
      </c>
      <c r="I106">
        <v>0</v>
      </c>
      <c r="J106" t="s">
        <v>16</v>
      </c>
      <c r="K106" t="s">
        <v>32</v>
      </c>
      <c r="L106">
        <v>43</v>
      </c>
      <c r="M106" t="s">
        <v>47</v>
      </c>
      <c r="N106" t="s">
        <v>18</v>
      </c>
    </row>
    <row r="107" spans="1:14" x14ac:dyDescent="0.3">
      <c r="A107">
        <v>17260</v>
      </c>
      <c r="B107" t="s">
        <v>36</v>
      </c>
      <c r="C107" t="s">
        <v>38</v>
      </c>
      <c r="D107">
        <v>90000</v>
      </c>
      <c r="E107">
        <v>5</v>
      </c>
      <c r="F107" t="s">
        <v>19</v>
      </c>
      <c r="G107" t="s">
        <v>21</v>
      </c>
      <c r="H107" t="s">
        <v>15</v>
      </c>
      <c r="I107">
        <v>3</v>
      </c>
      <c r="J107" t="s">
        <v>16</v>
      </c>
      <c r="K107" t="s">
        <v>32</v>
      </c>
      <c r="L107">
        <v>41</v>
      </c>
      <c r="M107" t="s">
        <v>47</v>
      </c>
      <c r="N107" t="s">
        <v>18</v>
      </c>
    </row>
    <row r="108" spans="1:14" x14ac:dyDescent="0.3">
      <c r="A108">
        <v>14602</v>
      </c>
      <c r="B108" t="s">
        <v>36</v>
      </c>
      <c r="C108" t="s">
        <v>42</v>
      </c>
      <c r="D108">
        <v>80000</v>
      </c>
      <c r="E108">
        <v>3</v>
      </c>
      <c r="F108" t="s">
        <v>31</v>
      </c>
      <c r="G108" t="s">
        <v>21</v>
      </c>
      <c r="H108" t="s">
        <v>15</v>
      </c>
      <c r="I108">
        <v>0</v>
      </c>
      <c r="J108" t="s">
        <v>16</v>
      </c>
      <c r="K108" t="s">
        <v>32</v>
      </c>
      <c r="L108">
        <v>36</v>
      </c>
      <c r="M108" t="s">
        <v>47</v>
      </c>
      <c r="N108" t="s">
        <v>15</v>
      </c>
    </row>
    <row r="109" spans="1:14" x14ac:dyDescent="0.3">
      <c r="A109">
        <v>11783</v>
      </c>
      <c r="B109" t="s">
        <v>36</v>
      </c>
      <c r="C109" t="s">
        <v>42</v>
      </c>
      <c r="D109">
        <v>60000</v>
      </c>
      <c r="E109">
        <v>1</v>
      </c>
      <c r="F109" t="s">
        <v>31</v>
      </c>
      <c r="G109" t="s">
        <v>14</v>
      </c>
      <c r="H109" t="s">
        <v>15</v>
      </c>
      <c r="I109">
        <v>0</v>
      </c>
      <c r="J109" t="s">
        <v>16</v>
      </c>
      <c r="K109" t="s">
        <v>32</v>
      </c>
      <c r="L109">
        <v>34</v>
      </c>
      <c r="M109" t="s">
        <v>47</v>
      </c>
      <c r="N109" t="s">
        <v>18</v>
      </c>
    </row>
    <row r="110" spans="1:14" x14ac:dyDescent="0.3">
      <c r="A110">
        <v>26829</v>
      </c>
      <c r="B110" t="s">
        <v>36</v>
      </c>
      <c r="C110" t="s">
        <v>42</v>
      </c>
      <c r="D110">
        <v>40000</v>
      </c>
      <c r="E110">
        <v>0</v>
      </c>
      <c r="F110" t="s">
        <v>13</v>
      </c>
      <c r="G110" t="s">
        <v>20</v>
      </c>
      <c r="H110" t="s">
        <v>15</v>
      </c>
      <c r="I110">
        <v>0</v>
      </c>
      <c r="J110" t="s">
        <v>16</v>
      </c>
      <c r="K110" t="s">
        <v>17</v>
      </c>
      <c r="L110">
        <v>38</v>
      </c>
      <c r="M110" t="s">
        <v>47</v>
      </c>
      <c r="N110" t="s">
        <v>15</v>
      </c>
    </row>
    <row r="111" spans="1:14" x14ac:dyDescent="0.3">
      <c r="A111">
        <v>28395</v>
      </c>
      <c r="B111" t="s">
        <v>37</v>
      </c>
      <c r="C111" t="s">
        <v>38</v>
      </c>
      <c r="D111">
        <v>40000</v>
      </c>
      <c r="E111">
        <v>0</v>
      </c>
      <c r="F111" t="s">
        <v>13</v>
      </c>
      <c r="G111" t="s">
        <v>21</v>
      </c>
      <c r="H111" t="s">
        <v>18</v>
      </c>
      <c r="I111">
        <v>0</v>
      </c>
      <c r="J111" t="s">
        <v>16</v>
      </c>
      <c r="K111" t="s">
        <v>17</v>
      </c>
      <c r="L111">
        <v>39</v>
      </c>
      <c r="M111" t="s">
        <v>47</v>
      </c>
      <c r="N111" t="s">
        <v>15</v>
      </c>
    </row>
    <row r="112" spans="1:14" x14ac:dyDescent="0.3">
      <c r="A112">
        <v>21006</v>
      </c>
      <c r="B112" t="s">
        <v>37</v>
      </c>
      <c r="C112" t="s">
        <v>42</v>
      </c>
      <c r="D112">
        <v>30000</v>
      </c>
      <c r="E112">
        <v>1</v>
      </c>
      <c r="F112" t="s">
        <v>19</v>
      </c>
      <c r="G112" t="s">
        <v>25</v>
      </c>
      <c r="H112" t="s">
        <v>18</v>
      </c>
      <c r="I112">
        <v>0</v>
      </c>
      <c r="J112" t="s">
        <v>16</v>
      </c>
      <c r="K112" t="s">
        <v>17</v>
      </c>
      <c r="L112">
        <v>46</v>
      </c>
      <c r="M112" t="s">
        <v>47</v>
      </c>
      <c r="N112" t="s">
        <v>15</v>
      </c>
    </row>
    <row r="113" spans="1:14" x14ac:dyDescent="0.3">
      <c r="A113">
        <v>14657</v>
      </c>
      <c r="B113" t="s">
        <v>36</v>
      </c>
      <c r="C113" t="s">
        <v>38</v>
      </c>
      <c r="D113">
        <v>80000</v>
      </c>
      <c r="E113">
        <v>1</v>
      </c>
      <c r="F113" t="s">
        <v>19</v>
      </c>
      <c r="G113" t="s">
        <v>14</v>
      </c>
      <c r="H113" t="s">
        <v>18</v>
      </c>
      <c r="I113">
        <v>1</v>
      </c>
      <c r="J113" t="s">
        <v>16</v>
      </c>
      <c r="K113" t="s">
        <v>32</v>
      </c>
      <c r="L113">
        <v>47</v>
      </c>
      <c r="M113" t="s">
        <v>47</v>
      </c>
      <c r="N113" t="s">
        <v>15</v>
      </c>
    </row>
    <row r="114" spans="1:14" x14ac:dyDescent="0.3">
      <c r="A114">
        <v>17699</v>
      </c>
      <c r="B114" t="s">
        <v>36</v>
      </c>
      <c r="C114" t="s">
        <v>38</v>
      </c>
      <c r="D114">
        <v>60000</v>
      </c>
      <c r="E114">
        <v>1</v>
      </c>
      <c r="F114" t="s">
        <v>31</v>
      </c>
      <c r="G114" t="s">
        <v>14</v>
      </c>
      <c r="H114" t="s">
        <v>18</v>
      </c>
      <c r="I114">
        <v>0</v>
      </c>
      <c r="J114" t="s">
        <v>16</v>
      </c>
      <c r="K114" t="s">
        <v>32</v>
      </c>
      <c r="L114">
        <v>55</v>
      </c>
      <c r="M114" t="s">
        <v>48</v>
      </c>
      <c r="N114" t="s">
        <v>18</v>
      </c>
    </row>
    <row r="115" spans="1:14" x14ac:dyDescent="0.3">
      <c r="A115">
        <v>29191</v>
      </c>
      <c r="B115" t="s">
        <v>37</v>
      </c>
      <c r="C115" t="s">
        <v>42</v>
      </c>
      <c r="D115">
        <v>130000</v>
      </c>
      <c r="E115">
        <v>1</v>
      </c>
      <c r="F115" t="s">
        <v>31</v>
      </c>
      <c r="G115" t="s">
        <v>28</v>
      </c>
      <c r="H115" t="s">
        <v>18</v>
      </c>
      <c r="I115">
        <v>1</v>
      </c>
      <c r="J115" t="s">
        <v>16</v>
      </c>
      <c r="K115" t="s">
        <v>24</v>
      </c>
      <c r="L115">
        <v>36</v>
      </c>
      <c r="M115" t="s">
        <v>47</v>
      </c>
      <c r="N115" t="s">
        <v>15</v>
      </c>
    </row>
    <row r="116" spans="1:14" x14ac:dyDescent="0.3">
      <c r="A116">
        <v>15030</v>
      </c>
      <c r="B116" t="s">
        <v>36</v>
      </c>
      <c r="C116" t="s">
        <v>38</v>
      </c>
      <c r="D116">
        <v>20000</v>
      </c>
      <c r="E116">
        <v>0</v>
      </c>
      <c r="F116" t="s">
        <v>13</v>
      </c>
      <c r="G116" t="s">
        <v>20</v>
      </c>
      <c r="H116" t="s">
        <v>15</v>
      </c>
      <c r="I116">
        <v>0</v>
      </c>
      <c r="J116" t="s">
        <v>16</v>
      </c>
      <c r="K116" t="s">
        <v>24</v>
      </c>
      <c r="L116">
        <v>26</v>
      </c>
      <c r="M116" t="s">
        <v>49</v>
      </c>
      <c r="N116" t="s">
        <v>15</v>
      </c>
    </row>
    <row r="117" spans="1:14" x14ac:dyDescent="0.3">
      <c r="A117">
        <v>24140</v>
      </c>
      <c r="B117" t="s">
        <v>37</v>
      </c>
      <c r="C117" t="s">
        <v>38</v>
      </c>
      <c r="D117">
        <v>10000</v>
      </c>
      <c r="E117">
        <v>0</v>
      </c>
      <c r="F117" t="s">
        <v>31</v>
      </c>
      <c r="G117" t="s">
        <v>25</v>
      </c>
      <c r="H117" t="s">
        <v>18</v>
      </c>
      <c r="I117">
        <v>0</v>
      </c>
      <c r="J117" t="s">
        <v>16</v>
      </c>
      <c r="K117" t="s">
        <v>17</v>
      </c>
      <c r="L117">
        <v>30</v>
      </c>
      <c r="M117" t="s">
        <v>49</v>
      </c>
      <c r="N117" t="s">
        <v>15</v>
      </c>
    </row>
    <row r="118" spans="1:14" x14ac:dyDescent="0.3">
      <c r="A118">
        <v>22496</v>
      </c>
      <c r="B118" t="s">
        <v>36</v>
      </c>
      <c r="C118" t="s">
        <v>42</v>
      </c>
      <c r="D118">
        <v>30000</v>
      </c>
      <c r="E118">
        <v>1</v>
      </c>
      <c r="F118" t="s">
        <v>13</v>
      </c>
      <c r="G118" t="s">
        <v>14</v>
      </c>
      <c r="H118" t="s">
        <v>15</v>
      </c>
      <c r="I118">
        <v>2</v>
      </c>
      <c r="J118" t="s">
        <v>16</v>
      </c>
      <c r="K118" t="s">
        <v>17</v>
      </c>
      <c r="L118">
        <v>42</v>
      </c>
      <c r="M118" t="s">
        <v>47</v>
      </c>
      <c r="N118" t="s">
        <v>18</v>
      </c>
    </row>
    <row r="119" spans="1:14" x14ac:dyDescent="0.3">
      <c r="A119">
        <v>24065</v>
      </c>
      <c r="B119" t="s">
        <v>37</v>
      </c>
      <c r="C119" t="s">
        <v>42</v>
      </c>
      <c r="D119">
        <v>20000</v>
      </c>
      <c r="E119">
        <v>0</v>
      </c>
      <c r="F119" t="s">
        <v>27</v>
      </c>
      <c r="G119" t="s">
        <v>25</v>
      </c>
      <c r="H119" t="s">
        <v>15</v>
      </c>
      <c r="I119">
        <v>0</v>
      </c>
      <c r="J119" t="s">
        <v>16</v>
      </c>
      <c r="K119" t="s">
        <v>17</v>
      </c>
      <c r="L119">
        <v>40</v>
      </c>
      <c r="M119" t="s">
        <v>47</v>
      </c>
      <c r="N119" t="s">
        <v>15</v>
      </c>
    </row>
    <row r="120" spans="1:14" x14ac:dyDescent="0.3">
      <c r="A120">
        <v>18952</v>
      </c>
      <c r="B120" t="s">
        <v>36</v>
      </c>
      <c r="C120" t="s">
        <v>42</v>
      </c>
      <c r="D120">
        <v>100000</v>
      </c>
      <c r="E120">
        <v>4</v>
      </c>
      <c r="F120" t="s">
        <v>13</v>
      </c>
      <c r="G120" t="s">
        <v>28</v>
      </c>
      <c r="H120" t="s">
        <v>15</v>
      </c>
      <c r="I120">
        <v>4</v>
      </c>
      <c r="J120" t="s">
        <v>16</v>
      </c>
      <c r="K120" t="s">
        <v>32</v>
      </c>
      <c r="L120">
        <v>40</v>
      </c>
      <c r="M120" t="s">
        <v>47</v>
      </c>
      <c r="N120" t="s">
        <v>18</v>
      </c>
    </row>
    <row r="121" spans="1:14" x14ac:dyDescent="0.3">
      <c r="A121">
        <v>12882</v>
      </c>
      <c r="B121" t="s">
        <v>36</v>
      </c>
      <c r="C121" t="s">
        <v>38</v>
      </c>
      <c r="D121">
        <v>50000</v>
      </c>
      <c r="E121">
        <v>1</v>
      </c>
      <c r="F121" t="s">
        <v>31</v>
      </c>
      <c r="G121" t="s">
        <v>14</v>
      </c>
      <c r="H121" t="s">
        <v>15</v>
      </c>
      <c r="I121">
        <v>0</v>
      </c>
      <c r="J121" t="s">
        <v>16</v>
      </c>
      <c r="K121" t="s">
        <v>32</v>
      </c>
      <c r="L121">
        <v>33</v>
      </c>
      <c r="M121" t="s">
        <v>47</v>
      </c>
      <c r="N121" t="s">
        <v>15</v>
      </c>
    </row>
    <row r="122" spans="1:14" x14ac:dyDescent="0.3">
      <c r="A122">
        <v>23797</v>
      </c>
      <c r="B122" t="s">
        <v>37</v>
      </c>
      <c r="C122" t="s">
        <v>38</v>
      </c>
      <c r="D122">
        <v>20000</v>
      </c>
      <c r="E122">
        <v>3</v>
      </c>
      <c r="F122" t="s">
        <v>29</v>
      </c>
      <c r="G122" t="s">
        <v>20</v>
      </c>
      <c r="H122" t="s">
        <v>18</v>
      </c>
      <c r="I122">
        <v>2</v>
      </c>
      <c r="J122" t="s">
        <v>16</v>
      </c>
      <c r="K122" t="s">
        <v>32</v>
      </c>
      <c r="L122">
        <v>50</v>
      </c>
      <c r="M122" t="s">
        <v>47</v>
      </c>
      <c r="N122" t="s">
        <v>18</v>
      </c>
    </row>
    <row r="123" spans="1:14" x14ac:dyDescent="0.3">
      <c r="A123">
        <v>15922</v>
      </c>
      <c r="B123" t="s">
        <v>36</v>
      </c>
      <c r="C123" t="s">
        <v>38</v>
      </c>
      <c r="D123">
        <v>150000</v>
      </c>
      <c r="E123">
        <v>2</v>
      </c>
      <c r="F123" t="s">
        <v>27</v>
      </c>
      <c r="G123" t="s">
        <v>21</v>
      </c>
      <c r="H123" t="s">
        <v>15</v>
      </c>
      <c r="I123">
        <v>4</v>
      </c>
      <c r="J123" t="s">
        <v>16</v>
      </c>
      <c r="K123" t="s">
        <v>17</v>
      </c>
      <c r="L123">
        <v>48</v>
      </c>
      <c r="M123" t="s">
        <v>47</v>
      </c>
      <c r="N123" t="s">
        <v>18</v>
      </c>
    </row>
    <row r="124" spans="1:14" x14ac:dyDescent="0.3">
      <c r="A124">
        <v>21714</v>
      </c>
      <c r="B124" t="s">
        <v>37</v>
      </c>
      <c r="C124" t="s">
        <v>42</v>
      </c>
      <c r="D124">
        <v>80000</v>
      </c>
      <c r="E124">
        <v>5</v>
      </c>
      <c r="F124" t="s">
        <v>31</v>
      </c>
      <c r="G124" t="s">
        <v>14</v>
      </c>
      <c r="H124" t="s">
        <v>18</v>
      </c>
      <c r="I124">
        <v>0</v>
      </c>
      <c r="J124" t="s">
        <v>16</v>
      </c>
      <c r="K124" t="s">
        <v>32</v>
      </c>
      <c r="L124">
        <v>47</v>
      </c>
      <c r="M124" t="s">
        <v>47</v>
      </c>
      <c r="N124" t="s">
        <v>18</v>
      </c>
    </row>
    <row r="125" spans="1:14" x14ac:dyDescent="0.3">
      <c r="A125">
        <v>27261</v>
      </c>
      <c r="B125" t="s">
        <v>36</v>
      </c>
      <c r="C125" t="s">
        <v>38</v>
      </c>
      <c r="D125">
        <v>40000</v>
      </c>
      <c r="E125">
        <v>1</v>
      </c>
      <c r="F125" t="s">
        <v>13</v>
      </c>
      <c r="G125" t="s">
        <v>14</v>
      </c>
      <c r="H125" t="s">
        <v>18</v>
      </c>
      <c r="I125">
        <v>1</v>
      </c>
      <c r="J125" t="s">
        <v>16</v>
      </c>
      <c r="K125" t="s">
        <v>32</v>
      </c>
      <c r="L125">
        <v>36</v>
      </c>
      <c r="M125" t="s">
        <v>47</v>
      </c>
      <c r="N125" t="s">
        <v>15</v>
      </c>
    </row>
    <row r="126" spans="1:14" x14ac:dyDescent="0.3">
      <c r="A126">
        <v>27775</v>
      </c>
      <c r="B126" t="s">
        <v>37</v>
      </c>
      <c r="C126" t="s">
        <v>42</v>
      </c>
      <c r="D126">
        <v>40000</v>
      </c>
      <c r="E126">
        <v>0</v>
      </c>
      <c r="F126" t="s">
        <v>13</v>
      </c>
      <c r="G126" t="s">
        <v>20</v>
      </c>
      <c r="H126" t="s">
        <v>18</v>
      </c>
      <c r="I126">
        <v>0</v>
      </c>
      <c r="J126" t="s">
        <v>16</v>
      </c>
      <c r="K126" t="s">
        <v>17</v>
      </c>
      <c r="L126">
        <v>38</v>
      </c>
      <c r="M126" t="s">
        <v>47</v>
      </c>
      <c r="N126" t="s">
        <v>15</v>
      </c>
    </row>
    <row r="127" spans="1:14" x14ac:dyDescent="0.3">
      <c r="A127">
        <v>12957</v>
      </c>
      <c r="B127" t="s">
        <v>37</v>
      </c>
      <c r="C127" t="s">
        <v>42</v>
      </c>
      <c r="D127">
        <v>70000</v>
      </c>
      <c r="E127">
        <v>1</v>
      </c>
      <c r="F127" t="s">
        <v>13</v>
      </c>
      <c r="G127" t="s">
        <v>21</v>
      </c>
      <c r="H127" t="s">
        <v>18</v>
      </c>
      <c r="I127">
        <v>1</v>
      </c>
      <c r="J127" t="s">
        <v>16</v>
      </c>
      <c r="K127" t="s">
        <v>32</v>
      </c>
      <c r="L127">
        <v>44</v>
      </c>
      <c r="M127" t="s">
        <v>47</v>
      </c>
      <c r="N127" t="s">
        <v>18</v>
      </c>
    </row>
    <row r="128" spans="1:14" x14ac:dyDescent="0.3">
      <c r="A128">
        <v>17657</v>
      </c>
      <c r="B128" t="s">
        <v>36</v>
      </c>
      <c r="C128" t="s">
        <v>38</v>
      </c>
      <c r="D128">
        <v>40000</v>
      </c>
      <c r="E128">
        <v>4</v>
      </c>
      <c r="F128" t="s">
        <v>19</v>
      </c>
      <c r="G128" t="s">
        <v>20</v>
      </c>
      <c r="H128" t="s">
        <v>18</v>
      </c>
      <c r="I128">
        <v>0</v>
      </c>
      <c r="J128" t="s">
        <v>16</v>
      </c>
      <c r="K128" t="s">
        <v>32</v>
      </c>
      <c r="L128">
        <v>30</v>
      </c>
      <c r="M128" t="s">
        <v>49</v>
      </c>
      <c r="N128" t="s">
        <v>18</v>
      </c>
    </row>
    <row r="129" spans="1:14" x14ac:dyDescent="0.3">
      <c r="A129">
        <v>16867</v>
      </c>
      <c r="B129" t="s">
        <v>37</v>
      </c>
      <c r="C129" t="s">
        <v>42</v>
      </c>
      <c r="D129">
        <v>130000</v>
      </c>
      <c r="E129">
        <v>1</v>
      </c>
      <c r="F129" t="s">
        <v>13</v>
      </c>
      <c r="G129" t="s">
        <v>28</v>
      </c>
      <c r="H129" t="s">
        <v>18</v>
      </c>
      <c r="I129">
        <v>3</v>
      </c>
      <c r="J129" t="s">
        <v>16</v>
      </c>
      <c r="K129" t="s">
        <v>32</v>
      </c>
      <c r="L129">
        <v>45</v>
      </c>
      <c r="M129" t="s">
        <v>47</v>
      </c>
      <c r="N129" t="s">
        <v>15</v>
      </c>
    </row>
    <row r="130" spans="1:14" x14ac:dyDescent="0.3">
      <c r="A130">
        <v>20970</v>
      </c>
      <c r="B130" t="s">
        <v>37</v>
      </c>
      <c r="C130" t="s">
        <v>38</v>
      </c>
      <c r="D130">
        <v>10000</v>
      </c>
      <c r="E130">
        <v>2</v>
      </c>
      <c r="F130" t="s">
        <v>19</v>
      </c>
      <c r="G130" t="s">
        <v>25</v>
      </c>
      <c r="H130" t="s">
        <v>15</v>
      </c>
      <c r="I130">
        <v>1</v>
      </c>
      <c r="J130" t="s">
        <v>16</v>
      </c>
      <c r="K130" t="s">
        <v>17</v>
      </c>
      <c r="L130">
        <v>52</v>
      </c>
      <c r="M130" t="s">
        <v>47</v>
      </c>
      <c r="N130" t="s">
        <v>15</v>
      </c>
    </row>
    <row r="131" spans="1:14" x14ac:dyDescent="0.3">
      <c r="A131">
        <v>26818</v>
      </c>
      <c r="B131" t="s">
        <v>37</v>
      </c>
      <c r="C131" t="s">
        <v>38</v>
      </c>
      <c r="D131">
        <v>10000</v>
      </c>
      <c r="E131">
        <v>3</v>
      </c>
      <c r="F131" t="s">
        <v>27</v>
      </c>
      <c r="G131" t="s">
        <v>25</v>
      </c>
      <c r="H131" t="s">
        <v>15</v>
      </c>
      <c r="I131">
        <v>1</v>
      </c>
      <c r="J131" t="s">
        <v>16</v>
      </c>
      <c r="K131" t="s">
        <v>17</v>
      </c>
      <c r="L131">
        <v>39</v>
      </c>
      <c r="M131" t="s">
        <v>47</v>
      </c>
      <c r="N131" t="s">
        <v>15</v>
      </c>
    </row>
    <row r="132" spans="1:14" x14ac:dyDescent="0.3">
      <c r="A132">
        <v>23027</v>
      </c>
      <c r="B132" t="s">
        <v>37</v>
      </c>
      <c r="C132" t="s">
        <v>38</v>
      </c>
      <c r="D132">
        <v>130000</v>
      </c>
      <c r="E132">
        <v>1</v>
      </c>
      <c r="F132" t="s">
        <v>13</v>
      </c>
      <c r="G132" t="s">
        <v>28</v>
      </c>
      <c r="H132" t="s">
        <v>18</v>
      </c>
      <c r="I132">
        <v>4</v>
      </c>
      <c r="J132" t="s">
        <v>16</v>
      </c>
      <c r="K132" t="s">
        <v>32</v>
      </c>
      <c r="L132">
        <v>44</v>
      </c>
      <c r="M132" t="s">
        <v>47</v>
      </c>
      <c r="N132" t="s">
        <v>18</v>
      </c>
    </row>
    <row r="133" spans="1:14" x14ac:dyDescent="0.3">
      <c r="A133">
        <v>11886</v>
      </c>
      <c r="B133" t="s">
        <v>36</v>
      </c>
      <c r="C133" t="s">
        <v>42</v>
      </c>
      <c r="D133">
        <v>60000</v>
      </c>
      <c r="E133">
        <v>3</v>
      </c>
      <c r="F133" t="s">
        <v>13</v>
      </c>
      <c r="G133" t="s">
        <v>21</v>
      </c>
      <c r="H133" t="s">
        <v>15</v>
      </c>
      <c r="I133">
        <v>1</v>
      </c>
      <c r="J133" t="s">
        <v>16</v>
      </c>
      <c r="K133" t="s">
        <v>32</v>
      </c>
      <c r="L133">
        <v>48</v>
      </c>
      <c r="M133" t="s">
        <v>47</v>
      </c>
      <c r="N133" t="s">
        <v>15</v>
      </c>
    </row>
    <row r="134" spans="1:14" x14ac:dyDescent="0.3">
      <c r="A134">
        <v>19477</v>
      </c>
      <c r="B134" t="s">
        <v>36</v>
      </c>
      <c r="C134" t="s">
        <v>38</v>
      </c>
      <c r="D134">
        <v>40000</v>
      </c>
      <c r="E134">
        <v>0</v>
      </c>
      <c r="F134" t="s">
        <v>13</v>
      </c>
      <c r="G134" t="s">
        <v>21</v>
      </c>
      <c r="H134" t="s">
        <v>15</v>
      </c>
      <c r="I134">
        <v>0</v>
      </c>
      <c r="J134" t="s">
        <v>16</v>
      </c>
      <c r="K134" t="s">
        <v>17</v>
      </c>
      <c r="L134">
        <v>40</v>
      </c>
      <c r="M134" t="s">
        <v>47</v>
      </c>
      <c r="N134" t="s">
        <v>15</v>
      </c>
    </row>
    <row r="135" spans="1:14" x14ac:dyDescent="0.3">
      <c r="A135">
        <v>16144</v>
      </c>
      <c r="B135" t="s">
        <v>36</v>
      </c>
      <c r="C135" t="s">
        <v>38</v>
      </c>
      <c r="D135">
        <v>70000</v>
      </c>
      <c r="E135">
        <v>1</v>
      </c>
      <c r="F135" t="s">
        <v>31</v>
      </c>
      <c r="G135" t="s">
        <v>21</v>
      </c>
      <c r="H135" t="s">
        <v>15</v>
      </c>
      <c r="I135">
        <v>1</v>
      </c>
      <c r="J135" t="s">
        <v>16</v>
      </c>
      <c r="K135" t="s">
        <v>32</v>
      </c>
      <c r="L135">
        <v>46</v>
      </c>
      <c r="M135" t="s">
        <v>47</v>
      </c>
      <c r="N135" t="s">
        <v>15</v>
      </c>
    </row>
    <row r="136" spans="1:14" x14ac:dyDescent="0.3">
      <c r="A136">
        <v>21094</v>
      </c>
      <c r="B136" t="s">
        <v>37</v>
      </c>
      <c r="C136" t="s">
        <v>42</v>
      </c>
      <c r="D136">
        <v>30000</v>
      </c>
      <c r="E136">
        <v>2</v>
      </c>
      <c r="F136" t="s">
        <v>19</v>
      </c>
      <c r="G136" t="s">
        <v>20</v>
      </c>
      <c r="H136" t="s">
        <v>15</v>
      </c>
      <c r="I136">
        <v>2</v>
      </c>
      <c r="J136" t="s">
        <v>16</v>
      </c>
      <c r="K136" t="s">
        <v>17</v>
      </c>
      <c r="L136">
        <v>42</v>
      </c>
      <c r="M136" t="s">
        <v>47</v>
      </c>
      <c r="N136" t="s">
        <v>18</v>
      </c>
    </row>
    <row r="137" spans="1:14" x14ac:dyDescent="0.3">
      <c r="A137">
        <v>20084</v>
      </c>
      <c r="B137" t="s">
        <v>36</v>
      </c>
      <c r="C137" t="s">
        <v>38</v>
      </c>
      <c r="D137">
        <v>20000</v>
      </c>
      <c r="E137">
        <v>2</v>
      </c>
      <c r="F137" t="s">
        <v>27</v>
      </c>
      <c r="G137" t="s">
        <v>25</v>
      </c>
      <c r="H137" t="s">
        <v>18</v>
      </c>
      <c r="I137">
        <v>2</v>
      </c>
      <c r="J137" t="s">
        <v>16</v>
      </c>
      <c r="K137" t="s">
        <v>32</v>
      </c>
      <c r="L137">
        <v>53</v>
      </c>
      <c r="M137" t="s">
        <v>47</v>
      </c>
      <c r="N137" t="s">
        <v>18</v>
      </c>
    </row>
    <row r="138" spans="1:14" x14ac:dyDescent="0.3">
      <c r="A138">
        <v>11270</v>
      </c>
      <c r="B138" t="s">
        <v>36</v>
      </c>
      <c r="C138" t="s">
        <v>38</v>
      </c>
      <c r="D138">
        <v>130000</v>
      </c>
      <c r="E138">
        <v>2</v>
      </c>
      <c r="F138" t="s">
        <v>31</v>
      </c>
      <c r="G138" t="s">
        <v>28</v>
      </c>
      <c r="H138" t="s">
        <v>15</v>
      </c>
      <c r="I138">
        <v>3</v>
      </c>
      <c r="J138" t="s">
        <v>16</v>
      </c>
      <c r="K138" t="s">
        <v>32</v>
      </c>
      <c r="L138">
        <v>42</v>
      </c>
      <c r="M138" t="s">
        <v>47</v>
      </c>
      <c r="N138" t="s">
        <v>15</v>
      </c>
    </row>
    <row r="139" spans="1:14" x14ac:dyDescent="0.3">
      <c r="A139">
        <v>17994</v>
      </c>
      <c r="B139" t="s">
        <v>37</v>
      </c>
      <c r="C139" t="s">
        <v>38</v>
      </c>
      <c r="D139">
        <v>20000</v>
      </c>
      <c r="E139">
        <v>2</v>
      </c>
      <c r="F139" t="s">
        <v>27</v>
      </c>
      <c r="G139" t="s">
        <v>25</v>
      </c>
      <c r="H139" t="s">
        <v>15</v>
      </c>
      <c r="I139">
        <v>2</v>
      </c>
      <c r="J139" t="s">
        <v>16</v>
      </c>
      <c r="K139" t="s">
        <v>17</v>
      </c>
      <c r="L139">
        <v>42</v>
      </c>
      <c r="M139" t="s">
        <v>47</v>
      </c>
      <c r="N139" t="s">
        <v>18</v>
      </c>
    </row>
    <row r="140" spans="1:14" x14ac:dyDescent="0.3">
      <c r="A140">
        <v>26341</v>
      </c>
      <c r="B140" t="s">
        <v>36</v>
      </c>
      <c r="C140" t="s">
        <v>42</v>
      </c>
      <c r="D140">
        <v>70000</v>
      </c>
      <c r="E140">
        <v>5</v>
      </c>
      <c r="F140" t="s">
        <v>31</v>
      </c>
      <c r="G140" t="s">
        <v>21</v>
      </c>
      <c r="H140" t="s">
        <v>15</v>
      </c>
      <c r="I140">
        <v>2</v>
      </c>
      <c r="J140" t="s">
        <v>16</v>
      </c>
      <c r="K140" t="s">
        <v>32</v>
      </c>
      <c r="L140">
        <v>37</v>
      </c>
      <c r="M140" t="s">
        <v>47</v>
      </c>
      <c r="N140" t="s">
        <v>18</v>
      </c>
    </row>
    <row r="141" spans="1:14" x14ac:dyDescent="0.3">
      <c r="A141">
        <v>27198</v>
      </c>
      <c r="B141" t="s">
        <v>37</v>
      </c>
      <c r="C141" t="s">
        <v>42</v>
      </c>
      <c r="D141">
        <v>80000</v>
      </c>
      <c r="E141">
        <v>0</v>
      </c>
      <c r="F141" t="s">
        <v>31</v>
      </c>
      <c r="G141" t="s">
        <v>14</v>
      </c>
      <c r="H141" t="s">
        <v>18</v>
      </c>
      <c r="I141">
        <v>0</v>
      </c>
      <c r="J141" t="s">
        <v>16</v>
      </c>
      <c r="K141" t="s">
        <v>32</v>
      </c>
      <c r="L141">
        <v>40</v>
      </c>
      <c r="M141" t="s">
        <v>47</v>
      </c>
      <c r="N141" t="s">
        <v>18</v>
      </c>
    </row>
    <row r="142" spans="1:14" x14ac:dyDescent="0.3">
      <c r="A142">
        <v>22500</v>
      </c>
      <c r="B142" t="s">
        <v>37</v>
      </c>
      <c r="C142" t="s">
        <v>38</v>
      </c>
      <c r="D142">
        <v>40000</v>
      </c>
      <c r="E142">
        <v>0</v>
      </c>
      <c r="F142" t="s">
        <v>13</v>
      </c>
      <c r="G142" t="s">
        <v>21</v>
      </c>
      <c r="H142" t="s">
        <v>18</v>
      </c>
      <c r="I142">
        <v>0</v>
      </c>
      <c r="J142" t="s">
        <v>16</v>
      </c>
      <c r="K142" t="s">
        <v>17</v>
      </c>
      <c r="L142">
        <v>40</v>
      </c>
      <c r="M142" t="s">
        <v>47</v>
      </c>
      <c r="N142" t="s">
        <v>15</v>
      </c>
    </row>
    <row r="143" spans="1:14" x14ac:dyDescent="0.3">
      <c r="A143">
        <v>23993</v>
      </c>
      <c r="B143" t="s">
        <v>37</v>
      </c>
      <c r="C143" t="s">
        <v>42</v>
      </c>
      <c r="D143">
        <v>10000</v>
      </c>
      <c r="E143">
        <v>0</v>
      </c>
      <c r="F143" t="s">
        <v>19</v>
      </c>
      <c r="G143" t="s">
        <v>25</v>
      </c>
      <c r="H143" t="s">
        <v>18</v>
      </c>
      <c r="I143">
        <v>1</v>
      </c>
      <c r="J143" t="s">
        <v>16</v>
      </c>
      <c r="K143" t="s">
        <v>24</v>
      </c>
      <c r="L143">
        <v>26</v>
      </c>
      <c r="M143" t="s">
        <v>49</v>
      </c>
      <c r="N143" t="s">
        <v>15</v>
      </c>
    </row>
    <row r="144" spans="1:14" x14ac:dyDescent="0.3">
      <c r="A144">
        <v>14832</v>
      </c>
      <c r="B144" t="s">
        <v>36</v>
      </c>
      <c r="C144" t="s">
        <v>38</v>
      </c>
      <c r="D144">
        <v>40000</v>
      </c>
      <c r="E144">
        <v>1</v>
      </c>
      <c r="F144" t="s">
        <v>13</v>
      </c>
      <c r="G144" t="s">
        <v>14</v>
      </c>
      <c r="H144" t="s">
        <v>15</v>
      </c>
      <c r="I144">
        <v>0</v>
      </c>
      <c r="J144" t="s">
        <v>16</v>
      </c>
      <c r="K144" t="s">
        <v>17</v>
      </c>
      <c r="L144">
        <v>42</v>
      </c>
      <c r="M144" t="s">
        <v>47</v>
      </c>
      <c r="N144" t="s">
        <v>15</v>
      </c>
    </row>
    <row r="145" spans="1:14" x14ac:dyDescent="0.3">
      <c r="A145">
        <v>17546</v>
      </c>
      <c r="B145" t="s">
        <v>36</v>
      </c>
      <c r="C145" t="s">
        <v>42</v>
      </c>
      <c r="D145">
        <v>70000</v>
      </c>
      <c r="E145">
        <v>1</v>
      </c>
      <c r="F145" t="s">
        <v>19</v>
      </c>
      <c r="G145" t="s">
        <v>14</v>
      </c>
      <c r="H145" t="s">
        <v>15</v>
      </c>
      <c r="I145">
        <v>1</v>
      </c>
      <c r="J145" t="s">
        <v>16</v>
      </c>
      <c r="K145" t="s">
        <v>32</v>
      </c>
      <c r="L145">
        <v>44</v>
      </c>
      <c r="M145" t="s">
        <v>47</v>
      </c>
      <c r="N145" t="s">
        <v>15</v>
      </c>
    </row>
    <row r="146" spans="1:14" x14ac:dyDescent="0.3">
      <c r="A146">
        <v>23479</v>
      </c>
      <c r="B146" t="s">
        <v>37</v>
      </c>
      <c r="C146" t="s">
        <v>38</v>
      </c>
      <c r="D146">
        <v>90000</v>
      </c>
      <c r="E146">
        <v>0</v>
      </c>
      <c r="F146" t="s">
        <v>19</v>
      </c>
      <c r="G146" t="s">
        <v>21</v>
      </c>
      <c r="H146" t="s">
        <v>18</v>
      </c>
      <c r="I146">
        <v>2</v>
      </c>
      <c r="J146" t="s">
        <v>16</v>
      </c>
      <c r="K146" t="s">
        <v>32</v>
      </c>
      <c r="L146">
        <v>43</v>
      </c>
      <c r="M146" t="s">
        <v>47</v>
      </c>
      <c r="N146" t="s">
        <v>15</v>
      </c>
    </row>
    <row r="147" spans="1:14" x14ac:dyDescent="0.3">
      <c r="A147">
        <v>20729</v>
      </c>
      <c r="B147" t="s">
        <v>36</v>
      </c>
      <c r="C147" t="s">
        <v>42</v>
      </c>
      <c r="D147">
        <v>40000</v>
      </c>
      <c r="E147">
        <v>2</v>
      </c>
      <c r="F147" t="s">
        <v>19</v>
      </c>
      <c r="G147" t="s">
        <v>20</v>
      </c>
      <c r="H147" t="s">
        <v>18</v>
      </c>
      <c r="I147">
        <v>1</v>
      </c>
      <c r="J147" t="s">
        <v>16</v>
      </c>
      <c r="K147" t="s">
        <v>17</v>
      </c>
      <c r="L147">
        <v>34</v>
      </c>
      <c r="M147" t="s">
        <v>47</v>
      </c>
      <c r="N147" t="s">
        <v>18</v>
      </c>
    </row>
    <row r="148" spans="1:14" x14ac:dyDescent="0.3">
      <c r="A148">
        <v>22464</v>
      </c>
      <c r="B148" t="s">
        <v>36</v>
      </c>
      <c r="C148" t="s">
        <v>38</v>
      </c>
      <c r="D148">
        <v>40000</v>
      </c>
      <c r="E148">
        <v>0</v>
      </c>
      <c r="F148" t="s">
        <v>31</v>
      </c>
      <c r="G148" t="s">
        <v>20</v>
      </c>
      <c r="H148" t="s">
        <v>15</v>
      </c>
      <c r="I148">
        <v>0</v>
      </c>
      <c r="J148" t="s">
        <v>16</v>
      </c>
      <c r="K148" t="s">
        <v>17</v>
      </c>
      <c r="L148">
        <v>37</v>
      </c>
      <c r="M148" t="s">
        <v>47</v>
      </c>
      <c r="N148" t="s">
        <v>15</v>
      </c>
    </row>
    <row r="149" spans="1:14" x14ac:dyDescent="0.3">
      <c r="A149">
        <v>19475</v>
      </c>
      <c r="B149" t="s">
        <v>36</v>
      </c>
      <c r="C149" t="s">
        <v>42</v>
      </c>
      <c r="D149">
        <v>40000</v>
      </c>
      <c r="E149">
        <v>0</v>
      </c>
      <c r="F149" t="s">
        <v>13</v>
      </c>
      <c r="G149" t="s">
        <v>21</v>
      </c>
      <c r="H149" t="s">
        <v>18</v>
      </c>
      <c r="I149">
        <v>0</v>
      </c>
      <c r="J149" t="s">
        <v>16</v>
      </c>
      <c r="K149" t="s">
        <v>17</v>
      </c>
      <c r="L149">
        <v>40</v>
      </c>
      <c r="M149" t="s">
        <v>47</v>
      </c>
      <c r="N149" t="s">
        <v>15</v>
      </c>
    </row>
    <row r="150" spans="1:14" x14ac:dyDescent="0.3">
      <c r="A150">
        <v>14090</v>
      </c>
      <c r="B150" t="s">
        <v>36</v>
      </c>
      <c r="C150" t="s">
        <v>42</v>
      </c>
      <c r="D150">
        <v>30000</v>
      </c>
      <c r="E150">
        <v>0</v>
      </c>
      <c r="F150" t="s">
        <v>29</v>
      </c>
      <c r="G150" t="s">
        <v>20</v>
      </c>
      <c r="H150" t="s">
        <v>18</v>
      </c>
      <c r="I150">
        <v>2</v>
      </c>
      <c r="J150" t="s">
        <v>16</v>
      </c>
      <c r="K150" t="s">
        <v>32</v>
      </c>
      <c r="L150">
        <v>28</v>
      </c>
      <c r="M150" t="s">
        <v>49</v>
      </c>
      <c r="N150" t="s">
        <v>18</v>
      </c>
    </row>
    <row r="151" spans="1:14" x14ac:dyDescent="0.3">
      <c r="A151">
        <v>18390</v>
      </c>
      <c r="B151" t="s">
        <v>36</v>
      </c>
      <c r="C151" t="s">
        <v>38</v>
      </c>
      <c r="D151">
        <v>80000</v>
      </c>
      <c r="E151">
        <v>5</v>
      </c>
      <c r="F151" t="s">
        <v>19</v>
      </c>
      <c r="G151" t="s">
        <v>21</v>
      </c>
      <c r="H151" t="s">
        <v>15</v>
      </c>
      <c r="I151">
        <v>2</v>
      </c>
      <c r="J151" t="s">
        <v>16</v>
      </c>
      <c r="K151" t="s">
        <v>32</v>
      </c>
      <c r="L151">
        <v>44</v>
      </c>
      <c r="M151" t="s">
        <v>47</v>
      </c>
      <c r="N151" t="s">
        <v>18</v>
      </c>
    </row>
    <row r="152" spans="1:14" x14ac:dyDescent="0.3">
      <c r="A152">
        <v>28068</v>
      </c>
      <c r="B152" t="s">
        <v>37</v>
      </c>
      <c r="C152" t="s">
        <v>42</v>
      </c>
      <c r="D152">
        <v>80000</v>
      </c>
      <c r="E152">
        <v>3</v>
      </c>
      <c r="F152" t="s">
        <v>31</v>
      </c>
      <c r="G152" t="s">
        <v>21</v>
      </c>
      <c r="H152" t="s">
        <v>18</v>
      </c>
      <c r="I152">
        <v>0</v>
      </c>
      <c r="J152" t="s">
        <v>16</v>
      </c>
      <c r="K152" t="s">
        <v>32</v>
      </c>
      <c r="L152">
        <v>36</v>
      </c>
      <c r="M152" t="s">
        <v>47</v>
      </c>
      <c r="N152" t="s">
        <v>15</v>
      </c>
    </row>
    <row r="153" spans="1:14" x14ac:dyDescent="0.3">
      <c r="A153">
        <v>29117</v>
      </c>
      <c r="B153" t="s">
        <v>37</v>
      </c>
      <c r="C153" t="s">
        <v>38</v>
      </c>
      <c r="D153">
        <v>100000</v>
      </c>
      <c r="E153">
        <v>1</v>
      </c>
      <c r="F153" t="s">
        <v>13</v>
      </c>
      <c r="G153" t="s">
        <v>28</v>
      </c>
      <c r="H153" t="s">
        <v>18</v>
      </c>
      <c r="I153">
        <v>3</v>
      </c>
      <c r="J153" t="s">
        <v>16</v>
      </c>
      <c r="K153" t="s">
        <v>24</v>
      </c>
      <c r="L153">
        <v>48</v>
      </c>
      <c r="M153" t="s">
        <v>47</v>
      </c>
      <c r="N153" t="s">
        <v>18</v>
      </c>
    </row>
    <row r="154" spans="1:14" x14ac:dyDescent="0.3">
      <c r="A154">
        <v>25970</v>
      </c>
      <c r="B154" t="s">
        <v>37</v>
      </c>
      <c r="C154" t="s">
        <v>42</v>
      </c>
      <c r="D154">
        <v>60000</v>
      </c>
      <c r="E154">
        <v>4</v>
      </c>
      <c r="F154" t="s">
        <v>13</v>
      </c>
      <c r="G154" t="s">
        <v>14</v>
      </c>
      <c r="H154" t="s">
        <v>18</v>
      </c>
      <c r="I154">
        <v>2</v>
      </c>
      <c r="J154" t="s">
        <v>16</v>
      </c>
      <c r="K154" t="s">
        <v>32</v>
      </c>
      <c r="L154">
        <v>41</v>
      </c>
      <c r="M154" t="s">
        <v>47</v>
      </c>
      <c r="N154" t="s">
        <v>15</v>
      </c>
    </row>
    <row r="155" spans="1:14" x14ac:dyDescent="0.3">
      <c r="A155">
        <v>23144</v>
      </c>
      <c r="B155" t="s">
        <v>36</v>
      </c>
      <c r="C155" t="s">
        <v>38</v>
      </c>
      <c r="D155">
        <v>50000</v>
      </c>
      <c r="E155">
        <v>1</v>
      </c>
      <c r="F155" t="s">
        <v>13</v>
      </c>
      <c r="G155" t="s">
        <v>14</v>
      </c>
      <c r="H155" t="s">
        <v>15</v>
      </c>
      <c r="I155">
        <v>0</v>
      </c>
      <c r="J155" t="s">
        <v>16</v>
      </c>
      <c r="K155" t="s">
        <v>32</v>
      </c>
      <c r="L155">
        <v>34</v>
      </c>
      <c r="M155" t="s">
        <v>47</v>
      </c>
      <c r="N155" t="s">
        <v>15</v>
      </c>
    </row>
    <row r="156" spans="1:14" x14ac:dyDescent="0.3">
      <c r="A156">
        <v>23426</v>
      </c>
      <c r="B156" t="s">
        <v>37</v>
      </c>
      <c r="C156" t="s">
        <v>38</v>
      </c>
      <c r="D156">
        <v>80000</v>
      </c>
      <c r="E156">
        <v>5</v>
      </c>
      <c r="F156" t="s">
        <v>31</v>
      </c>
      <c r="G156" t="s">
        <v>28</v>
      </c>
      <c r="H156" t="s">
        <v>15</v>
      </c>
      <c r="I156">
        <v>3</v>
      </c>
      <c r="J156" t="s">
        <v>16</v>
      </c>
      <c r="K156" t="s">
        <v>24</v>
      </c>
      <c r="L156">
        <v>40</v>
      </c>
      <c r="M156" t="s">
        <v>47</v>
      </c>
      <c r="N156" t="s">
        <v>18</v>
      </c>
    </row>
    <row r="157" spans="1:14" x14ac:dyDescent="0.3">
      <c r="A157">
        <v>14798</v>
      </c>
      <c r="B157" t="s">
        <v>37</v>
      </c>
      <c r="C157" t="s">
        <v>42</v>
      </c>
      <c r="D157">
        <v>10000</v>
      </c>
      <c r="E157">
        <v>4</v>
      </c>
      <c r="F157" t="s">
        <v>29</v>
      </c>
      <c r="G157" t="s">
        <v>25</v>
      </c>
      <c r="H157" t="s">
        <v>15</v>
      </c>
      <c r="I157">
        <v>2</v>
      </c>
      <c r="J157" t="s">
        <v>16</v>
      </c>
      <c r="K157" t="s">
        <v>17</v>
      </c>
      <c r="L157">
        <v>41</v>
      </c>
      <c r="M157" t="s">
        <v>47</v>
      </c>
      <c r="N157" t="s">
        <v>15</v>
      </c>
    </row>
    <row r="158" spans="1:14" x14ac:dyDescent="0.3">
      <c r="A158">
        <v>12664</v>
      </c>
      <c r="B158" t="s">
        <v>36</v>
      </c>
      <c r="C158" t="s">
        <v>42</v>
      </c>
      <c r="D158">
        <v>130000</v>
      </c>
      <c r="E158">
        <v>5</v>
      </c>
      <c r="F158" t="s">
        <v>19</v>
      </c>
      <c r="G158" t="s">
        <v>21</v>
      </c>
      <c r="H158" t="s">
        <v>15</v>
      </c>
      <c r="I158">
        <v>4</v>
      </c>
      <c r="J158" t="s">
        <v>16</v>
      </c>
      <c r="K158" t="s">
        <v>17</v>
      </c>
      <c r="L158">
        <v>59</v>
      </c>
      <c r="M158" t="s">
        <v>48</v>
      </c>
      <c r="N158" t="s">
        <v>18</v>
      </c>
    </row>
    <row r="159" spans="1:14" x14ac:dyDescent="0.3">
      <c r="A159">
        <v>23979</v>
      </c>
      <c r="B159" t="s">
        <v>37</v>
      </c>
      <c r="C159" t="s">
        <v>38</v>
      </c>
      <c r="D159">
        <v>10000</v>
      </c>
      <c r="E159">
        <v>2</v>
      </c>
      <c r="F159" t="s">
        <v>19</v>
      </c>
      <c r="G159" t="s">
        <v>25</v>
      </c>
      <c r="H159" t="s">
        <v>18</v>
      </c>
      <c r="I159">
        <v>0</v>
      </c>
      <c r="J159" t="s">
        <v>16</v>
      </c>
      <c r="K159" t="s">
        <v>17</v>
      </c>
      <c r="L159">
        <v>50</v>
      </c>
      <c r="M159" t="s">
        <v>47</v>
      </c>
      <c r="N159" t="s">
        <v>18</v>
      </c>
    </row>
    <row r="160" spans="1:14" x14ac:dyDescent="0.3">
      <c r="A160">
        <v>25605</v>
      </c>
      <c r="B160" t="s">
        <v>37</v>
      </c>
      <c r="C160" t="s">
        <v>42</v>
      </c>
      <c r="D160">
        <v>20000</v>
      </c>
      <c r="E160">
        <v>2</v>
      </c>
      <c r="F160" t="s">
        <v>19</v>
      </c>
      <c r="G160" t="s">
        <v>25</v>
      </c>
      <c r="H160" t="s">
        <v>18</v>
      </c>
      <c r="I160">
        <v>1</v>
      </c>
      <c r="J160" t="s">
        <v>16</v>
      </c>
      <c r="K160" t="s">
        <v>17</v>
      </c>
      <c r="L160">
        <v>54</v>
      </c>
      <c r="M160" t="s">
        <v>47</v>
      </c>
      <c r="N160" t="s">
        <v>15</v>
      </c>
    </row>
    <row r="161" spans="1:14" x14ac:dyDescent="0.3">
      <c r="A161">
        <v>20797</v>
      </c>
      <c r="B161" t="s">
        <v>36</v>
      </c>
      <c r="C161" t="s">
        <v>42</v>
      </c>
      <c r="D161">
        <v>10000</v>
      </c>
      <c r="E161">
        <v>1</v>
      </c>
      <c r="F161" t="s">
        <v>13</v>
      </c>
      <c r="G161" t="s">
        <v>25</v>
      </c>
      <c r="H161" t="s">
        <v>15</v>
      </c>
      <c r="I161">
        <v>0</v>
      </c>
      <c r="J161" t="s">
        <v>16</v>
      </c>
      <c r="K161" t="s">
        <v>17</v>
      </c>
      <c r="L161">
        <v>48</v>
      </c>
      <c r="M161" t="s">
        <v>47</v>
      </c>
      <c r="N161" t="s">
        <v>18</v>
      </c>
    </row>
    <row r="162" spans="1:14" x14ac:dyDescent="0.3">
      <c r="A162">
        <v>11699</v>
      </c>
      <c r="B162" t="s">
        <v>37</v>
      </c>
      <c r="C162" t="s">
        <v>38</v>
      </c>
      <c r="D162">
        <v>60000</v>
      </c>
      <c r="E162">
        <v>0</v>
      </c>
      <c r="F162" t="s">
        <v>13</v>
      </c>
      <c r="G162" t="s">
        <v>14</v>
      </c>
      <c r="H162" t="s">
        <v>18</v>
      </c>
      <c r="I162">
        <v>2</v>
      </c>
      <c r="J162" t="s">
        <v>16</v>
      </c>
      <c r="K162" t="s">
        <v>32</v>
      </c>
      <c r="L162">
        <v>30</v>
      </c>
      <c r="M162" t="s">
        <v>49</v>
      </c>
      <c r="N162" t="s">
        <v>18</v>
      </c>
    </row>
    <row r="163" spans="1:14" x14ac:dyDescent="0.3">
      <c r="A163">
        <v>25460</v>
      </c>
      <c r="B163" t="s">
        <v>36</v>
      </c>
      <c r="C163" t="s">
        <v>42</v>
      </c>
      <c r="D163">
        <v>20000</v>
      </c>
      <c r="E163">
        <v>2</v>
      </c>
      <c r="F163" t="s">
        <v>27</v>
      </c>
      <c r="G163" t="s">
        <v>25</v>
      </c>
      <c r="H163" t="s">
        <v>15</v>
      </c>
      <c r="I163">
        <v>0</v>
      </c>
      <c r="J163" t="s">
        <v>16</v>
      </c>
      <c r="K163" t="s">
        <v>17</v>
      </c>
      <c r="L163">
        <v>40</v>
      </c>
      <c r="M163" t="s">
        <v>47</v>
      </c>
      <c r="N163" t="s">
        <v>15</v>
      </c>
    </row>
    <row r="164" spans="1:14" x14ac:dyDescent="0.3">
      <c r="A164">
        <v>29181</v>
      </c>
      <c r="B164" t="s">
        <v>37</v>
      </c>
      <c r="C164" t="s">
        <v>42</v>
      </c>
      <c r="D164">
        <v>60000</v>
      </c>
      <c r="E164">
        <v>2</v>
      </c>
      <c r="F164" t="s">
        <v>13</v>
      </c>
      <c r="G164" t="s">
        <v>21</v>
      </c>
      <c r="H164" t="s">
        <v>18</v>
      </c>
      <c r="I164">
        <v>1</v>
      </c>
      <c r="J164" t="s">
        <v>16</v>
      </c>
      <c r="K164" t="s">
        <v>24</v>
      </c>
      <c r="L164">
        <v>38</v>
      </c>
      <c r="M164" t="s">
        <v>47</v>
      </c>
      <c r="N164" t="s">
        <v>15</v>
      </c>
    </row>
    <row r="165" spans="1:14" x14ac:dyDescent="0.3">
      <c r="A165">
        <v>29133</v>
      </c>
      <c r="B165" t="s">
        <v>37</v>
      </c>
      <c r="C165" t="s">
        <v>42</v>
      </c>
      <c r="D165">
        <v>60000</v>
      </c>
      <c r="E165">
        <v>4</v>
      </c>
      <c r="F165" t="s">
        <v>13</v>
      </c>
      <c r="G165" t="s">
        <v>14</v>
      </c>
      <c r="H165" t="s">
        <v>18</v>
      </c>
      <c r="I165">
        <v>2</v>
      </c>
      <c r="J165" t="s">
        <v>16</v>
      </c>
      <c r="K165" t="s">
        <v>32</v>
      </c>
      <c r="L165">
        <v>42</v>
      </c>
      <c r="M165" t="s">
        <v>47</v>
      </c>
      <c r="N165" t="s">
        <v>18</v>
      </c>
    </row>
    <row r="166" spans="1:14" x14ac:dyDescent="0.3">
      <c r="A166">
        <v>26248</v>
      </c>
      <c r="B166" t="s">
        <v>36</v>
      </c>
      <c r="C166" t="s">
        <v>38</v>
      </c>
      <c r="D166">
        <v>20000</v>
      </c>
      <c r="E166">
        <v>3</v>
      </c>
      <c r="F166" t="s">
        <v>29</v>
      </c>
      <c r="G166" t="s">
        <v>20</v>
      </c>
      <c r="H166" t="s">
        <v>18</v>
      </c>
      <c r="I166">
        <v>2</v>
      </c>
      <c r="J166" t="s">
        <v>16</v>
      </c>
      <c r="K166" t="s">
        <v>32</v>
      </c>
      <c r="L166">
        <v>52</v>
      </c>
      <c r="M166" t="s">
        <v>47</v>
      </c>
      <c r="N166" t="s">
        <v>18</v>
      </c>
    </row>
    <row r="167" spans="1:14" x14ac:dyDescent="0.3">
      <c r="A167">
        <v>15465</v>
      </c>
      <c r="B167" t="s">
        <v>36</v>
      </c>
      <c r="C167" t="s">
        <v>42</v>
      </c>
      <c r="D167">
        <v>10000</v>
      </c>
      <c r="E167">
        <v>0</v>
      </c>
      <c r="F167" t="s">
        <v>19</v>
      </c>
      <c r="G167" t="s">
        <v>25</v>
      </c>
      <c r="H167" t="s">
        <v>18</v>
      </c>
      <c r="I167">
        <v>1</v>
      </c>
      <c r="J167" t="s">
        <v>16</v>
      </c>
      <c r="K167" t="s">
        <v>24</v>
      </c>
      <c r="L167">
        <v>25</v>
      </c>
      <c r="M167" t="s">
        <v>49</v>
      </c>
      <c r="N167" t="s">
        <v>18</v>
      </c>
    </row>
    <row r="168" spans="1:14" x14ac:dyDescent="0.3">
      <c r="A168">
        <v>16377</v>
      </c>
      <c r="B168" t="s">
        <v>37</v>
      </c>
      <c r="C168" t="s">
        <v>42</v>
      </c>
      <c r="D168">
        <v>80000</v>
      </c>
      <c r="E168">
        <v>4</v>
      </c>
      <c r="F168" t="s">
        <v>31</v>
      </c>
      <c r="G168" t="s">
        <v>14</v>
      </c>
      <c r="H168" t="s">
        <v>18</v>
      </c>
      <c r="I168">
        <v>0</v>
      </c>
      <c r="J168" t="s">
        <v>16</v>
      </c>
      <c r="K168" t="s">
        <v>32</v>
      </c>
      <c r="L168">
        <v>47</v>
      </c>
      <c r="M168" t="s">
        <v>47</v>
      </c>
      <c r="N168" t="s">
        <v>18</v>
      </c>
    </row>
    <row r="169" spans="1:14" x14ac:dyDescent="0.3">
      <c r="A169">
        <v>13760</v>
      </c>
      <c r="B169" t="s">
        <v>36</v>
      </c>
      <c r="C169" t="s">
        <v>38</v>
      </c>
      <c r="D169">
        <v>60000</v>
      </c>
      <c r="E169">
        <v>4</v>
      </c>
      <c r="F169" t="s">
        <v>31</v>
      </c>
      <c r="G169" t="s">
        <v>14</v>
      </c>
      <c r="H169" t="s">
        <v>18</v>
      </c>
      <c r="I169">
        <v>0</v>
      </c>
      <c r="J169" t="s">
        <v>16</v>
      </c>
      <c r="K169" t="s">
        <v>32</v>
      </c>
      <c r="L169">
        <v>47</v>
      </c>
      <c r="M169" t="s">
        <v>47</v>
      </c>
      <c r="N169" t="s">
        <v>18</v>
      </c>
    </row>
    <row r="170" spans="1:14" x14ac:dyDescent="0.3">
      <c r="A170">
        <v>21717</v>
      </c>
      <c r="B170" t="s">
        <v>36</v>
      </c>
      <c r="C170" t="s">
        <v>38</v>
      </c>
      <c r="D170">
        <v>40000</v>
      </c>
      <c r="E170">
        <v>2</v>
      </c>
      <c r="F170" t="s">
        <v>19</v>
      </c>
      <c r="G170" t="s">
        <v>20</v>
      </c>
      <c r="H170" t="s">
        <v>15</v>
      </c>
      <c r="I170">
        <v>1</v>
      </c>
      <c r="J170" t="s">
        <v>16</v>
      </c>
      <c r="K170" t="s">
        <v>32</v>
      </c>
      <c r="L170">
        <v>47</v>
      </c>
      <c r="M170" t="s">
        <v>47</v>
      </c>
      <c r="N170" t="s">
        <v>18</v>
      </c>
    </row>
    <row r="171" spans="1:14" x14ac:dyDescent="0.3">
      <c r="A171">
        <v>12273</v>
      </c>
      <c r="B171" t="s">
        <v>36</v>
      </c>
      <c r="C171" t="s">
        <v>38</v>
      </c>
      <c r="D171">
        <v>30000</v>
      </c>
      <c r="E171">
        <v>1</v>
      </c>
      <c r="F171" t="s">
        <v>13</v>
      </c>
      <c r="G171" t="s">
        <v>20</v>
      </c>
      <c r="H171" t="s">
        <v>15</v>
      </c>
      <c r="I171">
        <v>0</v>
      </c>
      <c r="J171" t="s">
        <v>16</v>
      </c>
      <c r="K171" t="s">
        <v>17</v>
      </c>
      <c r="L171">
        <v>47</v>
      </c>
      <c r="M171" t="s">
        <v>47</v>
      </c>
      <c r="N171" t="s">
        <v>18</v>
      </c>
    </row>
    <row r="172" spans="1:14" x14ac:dyDescent="0.3">
      <c r="A172">
        <v>18517</v>
      </c>
      <c r="B172" t="s">
        <v>36</v>
      </c>
      <c r="C172" t="s">
        <v>38</v>
      </c>
      <c r="D172">
        <v>100000</v>
      </c>
      <c r="E172">
        <v>3</v>
      </c>
      <c r="F172" t="s">
        <v>13</v>
      </c>
      <c r="G172" t="s">
        <v>28</v>
      </c>
      <c r="H172" t="s">
        <v>15</v>
      </c>
      <c r="I172">
        <v>4</v>
      </c>
      <c r="J172" t="s">
        <v>16</v>
      </c>
      <c r="K172" t="s">
        <v>32</v>
      </c>
      <c r="L172">
        <v>41</v>
      </c>
      <c r="M172" t="s">
        <v>47</v>
      </c>
      <c r="N172" t="s">
        <v>18</v>
      </c>
    </row>
    <row r="173" spans="1:14" x14ac:dyDescent="0.3">
      <c r="A173">
        <v>14592</v>
      </c>
      <c r="B173" t="s">
        <v>36</v>
      </c>
      <c r="C173" t="s">
        <v>42</v>
      </c>
      <c r="D173">
        <v>60000</v>
      </c>
      <c r="E173">
        <v>0</v>
      </c>
      <c r="F173" t="s">
        <v>31</v>
      </c>
      <c r="G173" t="s">
        <v>21</v>
      </c>
      <c r="H173" t="s">
        <v>15</v>
      </c>
      <c r="I173">
        <v>0</v>
      </c>
      <c r="J173" t="s">
        <v>16</v>
      </c>
      <c r="K173" t="s">
        <v>32</v>
      </c>
      <c r="L173">
        <v>40</v>
      </c>
      <c r="M173" t="s">
        <v>47</v>
      </c>
      <c r="N173" t="s">
        <v>18</v>
      </c>
    </row>
    <row r="174" spans="1:14" x14ac:dyDescent="0.3">
      <c r="A174">
        <v>23963</v>
      </c>
      <c r="B174" t="s">
        <v>36</v>
      </c>
      <c r="C174" t="s">
        <v>38</v>
      </c>
      <c r="D174">
        <v>10000</v>
      </c>
      <c r="E174">
        <v>0</v>
      </c>
      <c r="F174" t="s">
        <v>29</v>
      </c>
      <c r="G174" t="s">
        <v>25</v>
      </c>
      <c r="H174" t="s">
        <v>18</v>
      </c>
      <c r="I174">
        <v>2</v>
      </c>
      <c r="J174" t="s">
        <v>16</v>
      </c>
      <c r="K174" t="s">
        <v>17</v>
      </c>
      <c r="L174">
        <v>33</v>
      </c>
      <c r="M174" t="s">
        <v>47</v>
      </c>
      <c r="N174" t="s">
        <v>18</v>
      </c>
    </row>
    <row r="175" spans="1:14" x14ac:dyDescent="0.3">
      <c r="A175">
        <v>14443</v>
      </c>
      <c r="B175" t="s">
        <v>36</v>
      </c>
      <c r="C175" t="s">
        <v>38</v>
      </c>
      <c r="D175">
        <v>130000</v>
      </c>
      <c r="E175">
        <v>1</v>
      </c>
      <c r="F175" t="s">
        <v>31</v>
      </c>
      <c r="G175" t="s">
        <v>28</v>
      </c>
      <c r="H175" t="s">
        <v>15</v>
      </c>
      <c r="I175">
        <v>4</v>
      </c>
      <c r="J175" t="s">
        <v>16</v>
      </c>
      <c r="K175" t="s">
        <v>32</v>
      </c>
      <c r="L175">
        <v>40</v>
      </c>
      <c r="M175" t="s">
        <v>47</v>
      </c>
      <c r="N175" t="s">
        <v>18</v>
      </c>
    </row>
    <row r="176" spans="1:14" x14ac:dyDescent="0.3">
      <c r="A176">
        <v>19442</v>
      </c>
      <c r="B176" t="s">
        <v>37</v>
      </c>
      <c r="C176" t="s">
        <v>38</v>
      </c>
      <c r="D176">
        <v>50000</v>
      </c>
      <c r="E176">
        <v>0</v>
      </c>
      <c r="F176" t="s">
        <v>31</v>
      </c>
      <c r="G176" t="s">
        <v>14</v>
      </c>
      <c r="H176" t="s">
        <v>15</v>
      </c>
      <c r="I176">
        <v>0</v>
      </c>
      <c r="J176" t="s">
        <v>16</v>
      </c>
      <c r="K176" t="s">
        <v>17</v>
      </c>
      <c r="L176">
        <v>37</v>
      </c>
      <c r="M176" t="s">
        <v>47</v>
      </c>
      <c r="N176" t="s">
        <v>15</v>
      </c>
    </row>
    <row r="177" spans="1:14" x14ac:dyDescent="0.3">
      <c r="A177">
        <v>11890</v>
      </c>
      <c r="B177" t="s">
        <v>36</v>
      </c>
      <c r="C177" t="s">
        <v>42</v>
      </c>
      <c r="D177">
        <v>70000</v>
      </c>
      <c r="E177">
        <v>5</v>
      </c>
      <c r="F177" t="s">
        <v>31</v>
      </c>
      <c r="G177" t="s">
        <v>21</v>
      </c>
      <c r="H177" t="s">
        <v>15</v>
      </c>
      <c r="I177">
        <v>1</v>
      </c>
      <c r="J177" t="s">
        <v>16</v>
      </c>
      <c r="K177" t="s">
        <v>32</v>
      </c>
      <c r="L177">
        <v>47</v>
      </c>
      <c r="M177" t="s">
        <v>47</v>
      </c>
      <c r="N177" t="s">
        <v>18</v>
      </c>
    </row>
    <row r="178" spans="1:14" x14ac:dyDescent="0.3">
      <c r="A178">
        <v>12253</v>
      </c>
      <c r="B178" t="s">
        <v>37</v>
      </c>
      <c r="C178" t="s">
        <v>42</v>
      </c>
      <c r="D178">
        <v>20000</v>
      </c>
      <c r="E178">
        <v>0</v>
      </c>
      <c r="F178" t="s">
        <v>19</v>
      </c>
      <c r="G178" t="s">
        <v>25</v>
      </c>
      <c r="H178" t="s">
        <v>15</v>
      </c>
      <c r="I178">
        <v>0</v>
      </c>
      <c r="J178" t="s">
        <v>16</v>
      </c>
      <c r="K178" t="s">
        <v>24</v>
      </c>
      <c r="L178">
        <v>29</v>
      </c>
      <c r="M178" t="s">
        <v>49</v>
      </c>
      <c r="N178" t="s">
        <v>15</v>
      </c>
    </row>
    <row r="179" spans="1:14" x14ac:dyDescent="0.3">
      <c r="A179">
        <v>22976</v>
      </c>
      <c r="B179" t="s">
        <v>37</v>
      </c>
      <c r="C179" t="s">
        <v>38</v>
      </c>
      <c r="D179">
        <v>40000</v>
      </c>
      <c r="E179">
        <v>0</v>
      </c>
      <c r="F179" t="s">
        <v>27</v>
      </c>
      <c r="G179" t="s">
        <v>14</v>
      </c>
      <c r="H179" t="s">
        <v>18</v>
      </c>
      <c r="I179">
        <v>2</v>
      </c>
      <c r="J179" t="s">
        <v>16</v>
      </c>
      <c r="K179" t="s">
        <v>32</v>
      </c>
      <c r="L179">
        <v>28</v>
      </c>
      <c r="M179" t="s">
        <v>49</v>
      </c>
      <c r="N179" t="s">
        <v>15</v>
      </c>
    </row>
    <row r="180" spans="1:14" x14ac:dyDescent="0.3">
      <c r="A180">
        <v>12964</v>
      </c>
      <c r="B180" t="s">
        <v>36</v>
      </c>
      <c r="C180" t="s">
        <v>38</v>
      </c>
      <c r="D180">
        <v>70000</v>
      </c>
      <c r="E180">
        <v>1</v>
      </c>
      <c r="F180" t="s">
        <v>19</v>
      </c>
      <c r="G180" t="s">
        <v>14</v>
      </c>
      <c r="H180" t="s">
        <v>15</v>
      </c>
      <c r="I180">
        <v>1</v>
      </c>
      <c r="J180" t="s">
        <v>16</v>
      </c>
      <c r="K180" t="s">
        <v>32</v>
      </c>
      <c r="L180">
        <v>44</v>
      </c>
      <c r="M180" t="s">
        <v>47</v>
      </c>
      <c r="N180" t="s">
        <v>18</v>
      </c>
    </row>
    <row r="181" spans="1:14" x14ac:dyDescent="0.3">
      <c r="A181">
        <v>12212</v>
      </c>
      <c r="B181" t="s">
        <v>36</v>
      </c>
      <c r="C181" t="s">
        <v>42</v>
      </c>
      <c r="D181">
        <v>10000</v>
      </c>
      <c r="E181">
        <v>0</v>
      </c>
      <c r="F181" t="s">
        <v>31</v>
      </c>
      <c r="G181" t="s">
        <v>25</v>
      </c>
      <c r="H181" t="s">
        <v>15</v>
      </c>
      <c r="I181">
        <v>0</v>
      </c>
      <c r="J181" t="s">
        <v>16</v>
      </c>
      <c r="K181" t="s">
        <v>17</v>
      </c>
      <c r="L181">
        <v>37</v>
      </c>
      <c r="M181" t="s">
        <v>47</v>
      </c>
      <c r="N181" t="s">
        <v>15</v>
      </c>
    </row>
    <row r="182" spans="1:14" x14ac:dyDescent="0.3">
      <c r="A182">
        <v>25529</v>
      </c>
      <c r="B182" t="s">
        <v>37</v>
      </c>
      <c r="C182" t="s">
        <v>38</v>
      </c>
      <c r="D182">
        <v>10000</v>
      </c>
      <c r="E182">
        <v>1</v>
      </c>
      <c r="F182" t="s">
        <v>31</v>
      </c>
      <c r="G182" t="s">
        <v>25</v>
      </c>
      <c r="H182" t="s">
        <v>15</v>
      </c>
      <c r="I182">
        <v>0</v>
      </c>
      <c r="J182" t="s">
        <v>16</v>
      </c>
      <c r="K182" t="s">
        <v>17</v>
      </c>
      <c r="L182">
        <v>44</v>
      </c>
      <c r="M182" t="s">
        <v>47</v>
      </c>
      <c r="N182" t="s">
        <v>18</v>
      </c>
    </row>
    <row r="183" spans="1:14" x14ac:dyDescent="0.3">
      <c r="A183">
        <v>26236</v>
      </c>
      <c r="B183" t="s">
        <v>36</v>
      </c>
      <c r="C183" t="s">
        <v>42</v>
      </c>
      <c r="D183">
        <v>40000</v>
      </c>
      <c r="E183">
        <v>3</v>
      </c>
      <c r="F183" t="s">
        <v>19</v>
      </c>
      <c r="G183" t="s">
        <v>20</v>
      </c>
      <c r="H183" t="s">
        <v>15</v>
      </c>
      <c r="I183">
        <v>1</v>
      </c>
      <c r="J183" t="s">
        <v>16</v>
      </c>
      <c r="K183" t="s">
        <v>32</v>
      </c>
      <c r="L183">
        <v>31</v>
      </c>
      <c r="M183" t="s">
        <v>47</v>
      </c>
      <c r="N183" t="s">
        <v>18</v>
      </c>
    </row>
    <row r="184" spans="1:14" x14ac:dyDescent="0.3">
      <c r="A184">
        <v>19445</v>
      </c>
      <c r="B184" t="s">
        <v>36</v>
      </c>
      <c r="C184" t="s">
        <v>42</v>
      </c>
      <c r="D184">
        <v>10000</v>
      </c>
      <c r="E184">
        <v>2</v>
      </c>
      <c r="F184" t="s">
        <v>27</v>
      </c>
      <c r="G184" t="s">
        <v>25</v>
      </c>
      <c r="H184" t="s">
        <v>18</v>
      </c>
      <c r="I184">
        <v>1</v>
      </c>
      <c r="J184" t="s">
        <v>16</v>
      </c>
      <c r="K184" t="s">
        <v>17</v>
      </c>
      <c r="L184">
        <v>38</v>
      </c>
      <c r="M184" t="s">
        <v>47</v>
      </c>
      <c r="N184" t="s">
        <v>18</v>
      </c>
    </row>
    <row r="185" spans="1:14" x14ac:dyDescent="0.3">
      <c r="A185">
        <v>16217</v>
      </c>
      <c r="B185" t="s">
        <v>37</v>
      </c>
      <c r="C185" t="s">
        <v>42</v>
      </c>
      <c r="D185">
        <v>60000</v>
      </c>
      <c r="E185">
        <v>0</v>
      </c>
      <c r="F185" t="s">
        <v>31</v>
      </c>
      <c r="G185" t="s">
        <v>14</v>
      </c>
      <c r="H185" t="s">
        <v>15</v>
      </c>
      <c r="I185">
        <v>0</v>
      </c>
      <c r="J185" t="s">
        <v>16</v>
      </c>
      <c r="K185" t="s">
        <v>32</v>
      </c>
      <c r="L185">
        <v>39</v>
      </c>
      <c r="M185" t="s">
        <v>47</v>
      </c>
      <c r="N185" t="s">
        <v>18</v>
      </c>
    </row>
    <row r="186" spans="1:14" x14ac:dyDescent="0.3">
      <c r="A186">
        <v>24745</v>
      </c>
      <c r="B186" t="s">
        <v>37</v>
      </c>
      <c r="C186" t="s">
        <v>42</v>
      </c>
      <c r="D186">
        <v>30000</v>
      </c>
      <c r="E186">
        <v>2</v>
      </c>
      <c r="F186" t="s">
        <v>27</v>
      </c>
      <c r="G186" t="s">
        <v>14</v>
      </c>
      <c r="H186" t="s">
        <v>18</v>
      </c>
      <c r="I186">
        <v>2</v>
      </c>
      <c r="J186" t="s">
        <v>16</v>
      </c>
      <c r="K186" t="s">
        <v>32</v>
      </c>
      <c r="L186">
        <v>49</v>
      </c>
      <c r="M186" t="s">
        <v>47</v>
      </c>
      <c r="N186" t="s">
        <v>18</v>
      </c>
    </row>
    <row r="187" spans="1:14" x14ac:dyDescent="0.3">
      <c r="A187">
        <v>22088</v>
      </c>
      <c r="B187" t="s">
        <v>36</v>
      </c>
      <c r="C187" t="s">
        <v>42</v>
      </c>
      <c r="D187">
        <v>130000</v>
      </c>
      <c r="E187">
        <v>1</v>
      </c>
      <c r="F187" t="s">
        <v>13</v>
      </c>
      <c r="G187" t="s">
        <v>28</v>
      </c>
      <c r="H187" t="s">
        <v>15</v>
      </c>
      <c r="I187">
        <v>2</v>
      </c>
      <c r="J187" t="s">
        <v>16</v>
      </c>
      <c r="K187" t="s">
        <v>32</v>
      </c>
      <c r="L187">
        <v>45</v>
      </c>
      <c r="M187" t="s">
        <v>47</v>
      </c>
      <c r="N187" t="s">
        <v>15</v>
      </c>
    </row>
    <row r="188" spans="1:14" x14ac:dyDescent="0.3">
      <c r="A188">
        <v>28815</v>
      </c>
      <c r="B188" t="s">
        <v>36</v>
      </c>
      <c r="C188" t="s">
        <v>42</v>
      </c>
      <c r="D188">
        <v>50000</v>
      </c>
      <c r="E188">
        <v>1</v>
      </c>
      <c r="F188" t="s">
        <v>31</v>
      </c>
      <c r="G188" t="s">
        <v>14</v>
      </c>
      <c r="H188" t="s">
        <v>15</v>
      </c>
      <c r="I188">
        <v>0</v>
      </c>
      <c r="J188" t="s">
        <v>16</v>
      </c>
      <c r="K188" t="s">
        <v>32</v>
      </c>
      <c r="L188">
        <v>35</v>
      </c>
      <c r="M188" t="s">
        <v>47</v>
      </c>
      <c r="N188" t="s">
        <v>18</v>
      </c>
    </row>
    <row r="189" spans="1:14" x14ac:dyDescent="0.3">
      <c r="A189">
        <v>25943</v>
      </c>
      <c r="B189" t="s">
        <v>37</v>
      </c>
      <c r="C189" t="s">
        <v>42</v>
      </c>
      <c r="D189">
        <v>70000</v>
      </c>
      <c r="E189">
        <v>0</v>
      </c>
      <c r="F189" t="s">
        <v>19</v>
      </c>
      <c r="G189" t="s">
        <v>14</v>
      </c>
      <c r="H189" t="s">
        <v>18</v>
      </c>
      <c r="I189">
        <v>2</v>
      </c>
      <c r="J189" t="s">
        <v>16</v>
      </c>
      <c r="K189" t="s">
        <v>32</v>
      </c>
      <c r="L189">
        <v>27</v>
      </c>
      <c r="M189" t="s">
        <v>49</v>
      </c>
      <c r="N189" t="s">
        <v>15</v>
      </c>
    </row>
    <row r="190" spans="1:14" x14ac:dyDescent="0.3">
      <c r="A190">
        <v>25347</v>
      </c>
      <c r="B190" t="s">
        <v>37</v>
      </c>
      <c r="C190" t="s">
        <v>42</v>
      </c>
      <c r="D190">
        <v>20000</v>
      </c>
      <c r="E190">
        <v>3</v>
      </c>
      <c r="F190" t="s">
        <v>29</v>
      </c>
      <c r="G190" t="s">
        <v>20</v>
      </c>
      <c r="H190" t="s">
        <v>18</v>
      </c>
      <c r="I190">
        <v>2</v>
      </c>
      <c r="J190" t="s">
        <v>16</v>
      </c>
      <c r="K190" t="s">
        <v>32</v>
      </c>
      <c r="L190">
        <v>49</v>
      </c>
      <c r="M190" t="s">
        <v>47</v>
      </c>
      <c r="N190" t="s">
        <v>18</v>
      </c>
    </row>
    <row r="191" spans="1:14" x14ac:dyDescent="0.3">
      <c r="A191">
        <v>19482</v>
      </c>
      <c r="B191" t="s">
        <v>36</v>
      </c>
      <c r="C191" t="s">
        <v>38</v>
      </c>
      <c r="D191">
        <v>30000</v>
      </c>
      <c r="E191">
        <v>1</v>
      </c>
      <c r="F191" t="s">
        <v>19</v>
      </c>
      <c r="G191" t="s">
        <v>20</v>
      </c>
      <c r="H191" t="s">
        <v>15</v>
      </c>
      <c r="I191">
        <v>1</v>
      </c>
      <c r="J191" t="s">
        <v>16</v>
      </c>
      <c r="K191" t="s">
        <v>17</v>
      </c>
      <c r="L191">
        <v>44</v>
      </c>
      <c r="M191" t="s">
        <v>47</v>
      </c>
      <c r="N191" t="s">
        <v>15</v>
      </c>
    </row>
    <row r="192" spans="1:14" x14ac:dyDescent="0.3">
      <c r="A192">
        <v>11538</v>
      </c>
      <c r="B192" t="s">
        <v>37</v>
      </c>
      <c r="C192" t="s">
        <v>42</v>
      </c>
      <c r="D192">
        <v>60000</v>
      </c>
      <c r="E192">
        <v>4</v>
      </c>
      <c r="F192" t="s">
        <v>31</v>
      </c>
      <c r="G192" t="s">
        <v>14</v>
      </c>
      <c r="H192" t="s">
        <v>18</v>
      </c>
      <c r="I192">
        <v>0</v>
      </c>
      <c r="J192" t="s">
        <v>16</v>
      </c>
      <c r="K192" t="s">
        <v>32</v>
      </c>
      <c r="L192">
        <v>47</v>
      </c>
      <c r="M192" t="s">
        <v>47</v>
      </c>
      <c r="N192" t="s">
        <v>15</v>
      </c>
    </row>
    <row r="193" spans="1:14" x14ac:dyDescent="0.3">
      <c r="A193">
        <v>26944</v>
      </c>
      <c r="B193" t="s">
        <v>37</v>
      </c>
      <c r="C193" t="s">
        <v>38</v>
      </c>
      <c r="D193">
        <v>90000</v>
      </c>
      <c r="E193">
        <v>2</v>
      </c>
      <c r="F193" t="s">
        <v>27</v>
      </c>
      <c r="G193" t="s">
        <v>25</v>
      </c>
      <c r="H193" t="s">
        <v>15</v>
      </c>
      <c r="I193">
        <v>0</v>
      </c>
      <c r="J193" t="s">
        <v>16</v>
      </c>
      <c r="K193" t="s">
        <v>17</v>
      </c>
      <c r="L193">
        <v>36</v>
      </c>
      <c r="M193" t="s">
        <v>47</v>
      </c>
      <c r="N193" t="s">
        <v>15</v>
      </c>
    </row>
    <row r="194" spans="1:14" x14ac:dyDescent="0.3">
      <c r="A194">
        <v>25983</v>
      </c>
      <c r="B194" t="s">
        <v>36</v>
      </c>
      <c r="C194" t="s">
        <v>38</v>
      </c>
      <c r="D194">
        <v>70000</v>
      </c>
      <c r="E194">
        <v>0</v>
      </c>
      <c r="F194" t="s">
        <v>13</v>
      </c>
      <c r="G194" t="s">
        <v>21</v>
      </c>
      <c r="H194" t="s">
        <v>18</v>
      </c>
      <c r="I194">
        <v>1</v>
      </c>
      <c r="J194" t="s">
        <v>16</v>
      </c>
      <c r="K194" t="s">
        <v>32</v>
      </c>
      <c r="L194">
        <v>43</v>
      </c>
      <c r="M194" t="s">
        <v>47</v>
      </c>
      <c r="N194" t="s">
        <v>18</v>
      </c>
    </row>
    <row r="195" spans="1:14" x14ac:dyDescent="0.3">
      <c r="A195">
        <v>20000</v>
      </c>
      <c r="B195" t="s">
        <v>36</v>
      </c>
      <c r="C195" t="s">
        <v>38</v>
      </c>
      <c r="D195">
        <v>60000</v>
      </c>
      <c r="E195">
        <v>1</v>
      </c>
      <c r="F195" t="s">
        <v>31</v>
      </c>
      <c r="G195" t="s">
        <v>21</v>
      </c>
      <c r="H195" t="s">
        <v>15</v>
      </c>
      <c r="I195">
        <v>0</v>
      </c>
      <c r="J195" t="s">
        <v>16</v>
      </c>
      <c r="K195" t="s">
        <v>32</v>
      </c>
      <c r="L195">
        <v>35</v>
      </c>
      <c r="M195" t="s">
        <v>47</v>
      </c>
      <c r="N195" t="s">
        <v>15</v>
      </c>
    </row>
    <row r="196" spans="1:14" x14ac:dyDescent="0.3">
      <c r="A196">
        <v>17843</v>
      </c>
      <c r="B196" t="s">
        <v>37</v>
      </c>
      <c r="C196" t="s">
        <v>42</v>
      </c>
      <c r="D196">
        <v>10000</v>
      </c>
      <c r="E196">
        <v>0</v>
      </c>
      <c r="F196" t="s">
        <v>29</v>
      </c>
      <c r="G196" t="s">
        <v>25</v>
      </c>
      <c r="H196" t="s">
        <v>18</v>
      </c>
      <c r="I196">
        <v>2</v>
      </c>
      <c r="J196" t="s">
        <v>16</v>
      </c>
      <c r="K196" t="s">
        <v>17</v>
      </c>
      <c r="L196">
        <v>32</v>
      </c>
      <c r="M196" t="s">
        <v>47</v>
      </c>
      <c r="N196" t="s">
        <v>18</v>
      </c>
    </row>
    <row r="197" spans="1:14" x14ac:dyDescent="0.3">
      <c r="A197">
        <v>25559</v>
      </c>
      <c r="B197" t="s">
        <v>37</v>
      </c>
      <c r="C197" t="s">
        <v>38</v>
      </c>
      <c r="D197">
        <v>20000</v>
      </c>
      <c r="E197">
        <v>0</v>
      </c>
      <c r="F197" t="s">
        <v>13</v>
      </c>
      <c r="G197" t="s">
        <v>20</v>
      </c>
      <c r="H197" t="s">
        <v>15</v>
      </c>
      <c r="I197">
        <v>0</v>
      </c>
      <c r="J197" t="s">
        <v>16</v>
      </c>
      <c r="K197" t="s">
        <v>24</v>
      </c>
      <c r="L197">
        <v>25</v>
      </c>
      <c r="M197" t="s">
        <v>49</v>
      </c>
      <c r="N197" t="s">
        <v>15</v>
      </c>
    </row>
    <row r="198" spans="1:14" x14ac:dyDescent="0.3">
      <c r="A198">
        <v>29231</v>
      </c>
      <c r="B198" t="s">
        <v>37</v>
      </c>
      <c r="C198" t="s">
        <v>38</v>
      </c>
      <c r="D198">
        <v>80000</v>
      </c>
      <c r="E198">
        <v>4</v>
      </c>
      <c r="F198" t="s">
        <v>19</v>
      </c>
      <c r="G198" t="s">
        <v>21</v>
      </c>
      <c r="H198" t="s">
        <v>18</v>
      </c>
      <c r="I198">
        <v>2</v>
      </c>
      <c r="J198" t="s">
        <v>16</v>
      </c>
      <c r="K198" t="s">
        <v>32</v>
      </c>
      <c r="L198">
        <v>43</v>
      </c>
      <c r="M198" t="s">
        <v>47</v>
      </c>
      <c r="N198" t="s">
        <v>18</v>
      </c>
    </row>
    <row r="199" spans="1:14" x14ac:dyDescent="0.3">
      <c r="A199">
        <v>11147</v>
      </c>
      <c r="B199" t="s">
        <v>36</v>
      </c>
      <c r="C199" t="s">
        <v>38</v>
      </c>
      <c r="D199">
        <v>60000</v>
      </c>
      <c r="E199">
        <v>2</v>
      </c>
      <c r="F199" t="s">
        <v>31</v>
      </c>
      <c r="G199" t="s">
        <v>28</v>
      </c>
      <c r="H199" t="s">
        <v>15</v>
      </c>
      <c r="I199">
        <v>1</v>
      </c>
      <c r="J199" t="s">
        <v>16</v>
      </c>
      <c r="K199" t="s">
        <v>24</v>
      </c>
      <c r="L199">
        <v>67</v>
      </c>
      <c r="M199" t="s">
        <v>48</v>
      </c>
      <c r="N199" t="s">
        <v>15</v>
      </c>
    </row>
    <row r="200" spans="1:14" x14ac:dyDescent="0.3">
      <c r="A200">
        <v>28609</v>
      </c>
      <c r="B200" t="s">
        <v>36</v>
      </c>
      <c r="C200" t="s">
        <v>38</v>
      </c>
      <c r="D200">
        <v>30000</v>
      </c>
      <c r="E200">
        <v>2</v>
      </c>
      <c r="F200" t="s">
        <v>27</v>
      </c>
      <c r="G200" t="s">
        <v>14</v>
      </c>
      <c r="H200" t="s">
        <v>18</v>
      </c>
      <c r="I200">
        <v>2</v>
      </c>
      <c r="J200" t="s">
        <v>16</v>
      </c>
      <c r="K200" t="s">
        <v>32</v>
      </c>
      <c r="L200">
        <v>49</v>
      </c>
      <c r="M200" t="s">
        <v>47</v>
      </c>
      <c r="N200" t="s">
        <v>18</v>
      </c>
    </row>
    <row r="201" spans="1:14" x14ac:dyDescent="0.3">
      <c r="A201">
        <v>24398</v>
      </c>
      <c r="B201" t="s">
        <v>36</v>
      </c>
      <c r="C201" t="s">
        <v>38</v>
      </c>
      <c r="D201">
        <v>130000</v>
      </c>
      <c r="E201">
        <v>1</v>
      </c>
      <c r="F201" t="s">
        <v>31</v>
      </c>
      <c r="G201" t="s">
        <v>28</v>
      </c>
      <c r="H201" t="s">
        <v>15</v>
      </c>
      <c r="I201">
        <v>4</v>
      </c>
      <c r="J201" t="s">
        <v>16</v>
      </c>
      <c r="K201" t="s">
        <v>32</v>
      </c>
      <c r="L201">
        <v>41</v>
      </c>
      <c r="M201" t="s">
        <v>47</v>
      </c>
      <c r="N201" t="s">
        <v>18</v>
      </c>
    </row>
    <row r="202" spans="1:14" x14ac:dyDescent="0.3">
      <c r="A202">
        <v>23158</v>
      </c>
      <c r="B202" t="s">
        <v>36</v>
      </c>
      <c r="C202" t="s">
        <v>42</v>
      </c>
      <c r="D202">
        <v>60000</v>
      </c>
      <c r="E202">
        <v>1</v>
      </c>
      <c r="F202" t="s">
        <v>31</v>
      </c>
      <c r="G202" t="s">
        <v>21</v>
      </c>
      <c r="H202" t="s">
        <v>18</v>
      </c>
      <c r="I202">
        <v>0</v>
      </c>
      <c r="J202" t="s">
        <v>16</v>
      </c>
      <c r="K202" t="s">
        <v>32</v>
      </c>
      <c r="L202">
        <v>35</v>
      </c>
      <c r="M202" t="s">
        <v>47</v>
      </c>
      <c r="N202" t="s">
        <v>15</v>
      </c>
    </row>
    <row r="203" spans="1:14" x14ac:dyDescent="0.3">
      <c r="A203">
        <v>15194</v>
      </c>
      <c r="B203" t="s">
        <v>37</v>
      </c>
      <c r="C203" t="s">
        <v>38</v>
      </c>
      <c r="D203">
        <v>120000</v>
      </c>
      <c r="E203">
        <v>2</v>
      </c>
      <c r="F203" t="s">
        <v>13</v>
      </c>
      <c r="G203" t="s">
        <v>28</v>
      </c>
      <c r="H203" t="s">
        <v>18</v>
      </c>
      <c r="I203">
        <v>3</v>
      </c>
      <c r="J203" t="s">
        <v>16</v>
      </c>
      <c r="K203" t="s">
        <v>32</v>
      </c>
      <c r="L203">
        <v>39</v>
      </c>
      <c r="M203" t="s">
        <v>47</v>
      </c>
      <c r="N203" t="s">
        <v>15</v>
      </c>
    </row>
    <row r="204" spans="1:14" x14ac:dyDescent="0.3">
      <c r="A204">
        <v>28667</v>
      </c>
      <c r="B204" t="s">
        <v>37</v>
      </c>
      <c r="C204" t="s">
        <v>38</v>
      </c>
      <c r="D204">
        <v>70000</v>
      </c>
      <c r="E204">
        <v>2</v>
      </c>
      <c r="F204" t="s">
        <v>13</v>
      </c>
      <c r="G204" t="s">
        <v>14</v>
      </c>
      <c r="H204" t="s">
        <v>18</v>
      </c>
      <c r="I204">
        <v>1</v>
      </c>
      <c r="J204" t="s">
        <v>16</v>
      </c>
      <c r="K204" t="s">
        <v>32</v>
      </c>
      <c r="L204">
        <v>37</v>
      </c>
      <c r="M204" t="s">
        <v>47</v>
      </c>
      <c r="N204" t="s">
        <v>15</v>
      </c>
    </row>
    <row r="205" spans="1:14" x14ac:dyDescent="0.3">
      <c r="A205">
        <v>25329</v>
      </c>
      <c r="B205" t="s">
        <v>37</v>
      </c>
      <c r="C205" t="s">
        <v>42</v>
      </c>
      <c r="D205">
        <v>40000</v>
      </c>
      <c r="E205">
        <v>3</v>
      </c>
      <c r="F205" t="s">
        <v>19</v>
      </c>
      <c r="G205" t="s">
        <v>20</v>
      </c>
      <c r="H205" t="s">
        <v>18</v>
      </c>
      <c r="I205">
        <v>2</v>
      </c>
      <c r="J205" t="s">
        <v>16</v>
      </c>
      <c r="K205" t="s">
        <v>32</v>
      </c>
      <c r="L205">
        <v>32</v>
      </c>
      <c r="M205" t="s">
        <v>47</v>
      </c>
      <c r="N205" t="s">
        <v>18</v>
      </c>
    </row>
    <row r="206" spans="1:14" x14ac:dyDescent="0.3">
      <c r="A206">
        <v>16917</v>
      </c>
      <c r="B206" t="s">
        <v>36</v>
      </c>
      <c r="C206" t="s">
        <v>38</v>
      </c>
      <c r="D206">
        <v>120000</v>
      </c>
      <c r="E206">
        <v>1</v>
      </c>
      <c r="F206" t="s">
        <v>13</v>
      </c>
      <c r="G206" t="s">
        <v>28</v>
      </c>
      <c r="H206" t="s">
        <v>15</v>
      </c>
      <c r="I206">
        <v>4</v>
      </c>
      <c r="J206" t="s">
        <v>16</v>
      </c>
      <c r="K206" t="s">
        <v>32</v>
      </c>
      <c r="L206">
        <v>38</v>
      </c>
      <c r="M206" t="s">
        <v>47</v>
      </c>
      <c r="N206" t="s">
        <v>18</v>
      </c>
    </row>
    <row r="207" spans="1:14" x14ac:dyDescent="0.3">
      <c r="A207">
        <v>15657</v>
      </c>
      <c r="B207" t="s">
        <v>36</v>
      </c>
      <c r="C207" t="s">
        <v>38</v>
      </c>
      <c r="D207">
        <v>30000</v>
      </c>
      <c r="E207">
        <v>3</v>
      </c>
      <c r="F207" t="s">
        <v>31</v>
      </c>
      <c r="G207" t="s">
        <v>20</v>
      </c>
      <c r="H207" t="s">
        <v>15</v>
      </c>
      <c r="I207">
        <v>0</v>
      </c>
      <c r="J207" t="s">
        <v>16</v>
      </c>
      <c r="K207" t="s">
        <v>17</v>
      </c>
      <c r="L207">
        <v>46</v>
      </c>
      <c r="M207" t="s">
        <v>47</v>
      </c>
      <c r="N207" t="s">
        <v>15</v>
      </c>
    </row>
    <row r="208" spans="1:14" x14ac:dyDescent="0.3">
      <c r="A208">
        <v>27218</v>
      </c>
      <c r="B208" t="s">
        <v>36</v>
      </c>
      <c r="C208" t="s">
        <v>42</v>
      </c>
      <c r="D208">
        <v>20000</v>
      </c>
      <c r="E208">
        <v>2</v>
      </c>
      <c r="F208" t="s">
        <v>29</v>
      </c>
      <c r="G208" t="s">
        <v>20</v>
      </c>
      <c r="H208" t="s">
        <v>18</v>
      </c>
      <c r="I208">
        <v>0</v>
      </c>
      <c r="J208" t="s">
        <v>16</v>
      </c>
      <c r="K208" t="s">
        <v>32</v>
      </c>
      <c r="L208">
        <v>48</v>
      </c>
      <c r="M208" t="s">
        <v>47</v>
      </c>
      <c r="N208" t="s">
        <v>18</v>
      </c>
    </row>
    <row r="209" spans="1:14" x14ac:dyDescent="0.3">
      <c r="A209">
        <v>18577</v>
      </c>
      <c r="B209" t="s">
        <v>36</v>
      </c>
      <c r="C209" t="s">
        <v>42</v>
      </c>
      <c r="D209">
        <v>60000</v>
      </c>
      <c r="E209">
        <v>0</v>
      </c>
      <c r="F209" t="s">
        <v>31</v>
      </c>
      <c r="G209" t="s">
        <v>21</v>
      </c>
      <c r="H209" t="s">
        <v>15</v>
      </c>
      <c r="I209">
        <v>0</v>
      </c>
      <c r="J209" t="s">
        <v>16</v>
      </c>
      <c r="K209" t="s">
        <v>32</v>
      </c>
      <c r="L209">
        <v>40</v>
      </c>
      <c r="M209" t="s">
        <v>47</v>
      </c>
      <c r="N209" t="s">
        <v>18</v>
      </c>
    </row>
    <row r="210" spans="1:14" x14ac:dyDescent="0.3">
      <c r="A210">
        <v>22633</v>
      </c>
      <c r="B210" t="s">
        <v>37</v>
      </c>
      <c r="C210" t="s">
        <v>42</v>
      </c>
      <c r="D210">
        <v>40000</v>
      </c>
      <c r="E210">
        <v>0</v>
      </c>
      <c r="F210" t="s">
        <v>31</v>
      </c>
      <c r="G210" t="s">
        <v>20</v>
      </c>
      <c r="H210" t="s">
        <v>15</v>
      </c>
      <c r="I210">
        <v>0</v>
      </c>
      <c r="J210" t="s">
        <v>16</v>
      </c>
      <c r="K210" t="s">
        <v>17</v>
      </c>
      <c r="L210">
        <v>37</v>
      </c>
      <c r="M210" t="s">
        <v>47</v>
      </c>
      <c r="N210" t="s">
        <v>15</v>
      </c>
    </row>
    <row r="211" spans="1:14" x14ac:dyDescent="0.3">
      <c r="A211">
        <v>25649</v>
      </c>
      <c r="B211" t="s">
        <v>37</v>
      </c>
      <c r="C211" t="s">
        <v>42</v>
      </c>
      <c r="D211">
        <v>30000</v>
      </c>
      <c r="E211">
        <v>3</v>
      </c>
      <c r="F211" t="s">
        <v>19</v>
      </c>
      <c r="G211" t="s">
        <v>20</v>
      </c>
      <c r="H211" t="s">
        <v>15</v>
      </c>
      <c r="I211">
        <v>0</v>
      </c>
      <c r="J211" t="s">
        <v>16</v>
      </c>
      <c r="K211" t="s">
        <v>17</v>
      </c>
      <c r="L211">
        <v>42</v>
      </c>
      <c r="M211" t="s">
        <v>47</v>
      </c>
      <c r="N211" t="s">
        <v>15</v>
      </c>
    </row>
    <row r="212" spans="1:14" x14ac:dyDescent="0.3">
      <c r="A212">
        <v>14669</v>
      </c>
      <c r="B212" t="s">
        <v>36</v>
      </c>
      <c r="C212" t="s">
        <v>42</v>
      </c>
      <c r="D212">
        <v>80000</v>
      </c>
      <c r="E212">
        <v>4</v>
      </c>
      <c r="F212" t="s">
        <v>31</v>
      </c>
      <c r="G212" t="s">
        <v>28</v>
      </c>
      <c r="H212" t="s">
        <v>15</v>
      </c>
      <c r="I212">
        <v>1</v>
      </c>
      <c r="J212" t="s">
        <v>16</v>
      </c>
      <c r="K212" t="s">
        <v>24</v>
      </c>
      <c r="L212">
        <v>36</v>
      </c>
      <c r="M212" t="s">
        <v>47</v>
      </c>
      <c r="N212" t="s">
        <v>18</v>
      </c>
    </row>
    <row r="213" spans="1:14" x14ac:dyDescent="0.3">
      <c r="A213">
        <v>19299</v>
      </c>
      <c r="B213" t="s">
        <v>36</v>
      </c>
      <c r="C213" t="s">
        <v>42</v>
      </c>
      <c r="D213">
        <v>50000</v>
      </c>
      <c r="E213">
        <v>0</v>
      </c>
      <c r="F213" t="s">
        <v>31</v>
      </c>
      <c r="G213" t="s">
        <v>14</v>
      </c>
      <c r="H213" t="s">
        <v>15</v>
      </c>
      <c r="I213">
        <v>0</v>
      </c>
      <c r="J213" t="s">
        <v>16</v>
      </c>
      <c r="K213" t="s">
        <v>17</v>
      </c>
      <c r="L213">
        <v>36</v>
      </c>
      <c r="M213" t="s">
        <v>47</v>
      </c>
      <c r="N213" t="s">
        <v>15</v>
      </c>
    </row>
    <row r="214" spans="1:14" x14ac:dyDescent="0.3">
      <c r="A214">
        <v>23200</v>
      </c>
      <c r="B214" t="s">
        <v>36</v>
      </c>
      <c r="C214" t="s">
        <v>42</v>
      </c>
      <c r="D214">
        <v>50000</v>
      </c>
      <c r="E214">
        <v>3</v>
      </c>
      <c r="F214" t="s">
        <v>13</v>
      </c>
      <c r="G214" t="s">
        <v>14</v>
      </c>
      <c r="H214" t="s">
        <v>15</v>
      </c>
      <c r="I214">
        <v>2</v>
      </c>
      <c r="J214" t="s">
        <v>16</v>
      </c>
      <c r="K214" t="s">
        <v>32</v>
      </c>
      <c r="L214">
        <v>41</v>
      </c>
      <c r="M214" t="s">
        <v>47</v>
      </c>
      <c r="N214" t="s">
        <v>18</v>
      </c>
    </row>
    <row r="215" spans="1:14" x14ac:dyDescent="0.3">
      <c r="A215">
        <v>14063</v>
      </c>
      <c r="B215" t="s">
        <v>37</v>
      </c>
      <c r="C215" t="s">
        <v>42</v>
      </c>
      <c r="D215">
        <v>70000</v>
      </c>
      <c r="E215">
        <v>0</v>
      </c>
      <c r="F215" t="s">
        <v>13</v>
      </c>
      <c r="G215" t="s">
        <v>21</v>
      </c>
      <c r="H215" t="s">
        <v>18</v>
      </c>
      <c r="I215">
        <v>1</v>
      </c>
      <c r="J215" t="s">
        <v>16</v>
      </c>
      <c r="K215" t="s">
        <v>24</v>
      </c>
      <c r="L215">
        <v>42</v>
      </c>
      <c r="M215" t="s">
        <v>47</v>
      </c>
      <c r="N215" t="s">
        <v>15</v>
      </c>
    </row>
    <row r="216" spans="1:14" x14ac:dyDescent="0.3">
      <c r="A216">
        <v>25553</v>
      </c>
      <c r="B216" t="s">
        <v>36</v>
      </c>
      <c r="C216" t="s">
        <v>38</v>
      </c>
      <c r="D216">
        <v>30000</v>
      </c>
      <c r="E216">
        <v>1</v>
      </c>
      <c r="F216" t="s">
        <v>13</v>
      </c>
      <c r="G216" t="s">
        <v>20</v>
      </c>
      <c r="H216" t="s">
        <v>15</v>
      </c>
      <c r="I216">
        <v>0</v>
      </c>
      <c r="J216" t="s">
        <v>16</v>
      </c>
      <c r="K216" t="s">
        <v>17</v>
      </c>
      <c r="L216">
        <v>65</v>
      </c>
      <c r="M216" t="s">
        <v>48</v>
      </c>
      <c r="N216" t="s">
        <v>15</v>
      </c>
    </row>
    <row r="217" spans="1:14" x14ac:dyDescent="0.3">
      <c r="A217">
        <v>13453</v>
      </c>
      <c r="B217" t="s">
        <v>36</v>
      </c>
      <c r="C217" t="s">
        <v>42</v>
      </c>
      <c r="D217">
        <v>130000</v>
      </c>
      <c r="E217">
        <v>3</v>
      </c>
      <c r="F217" t="s">
        <v>13</v>
      </c>
      <c r="G217" t="s">
        <v>28</v>
      </c>
      <c r="H217" t="s">
        <v>15</v>
      </c>
      <c r="I217">
        <v>3</v>
      </c>
      <c r="J217" t="s">
        <v>16</v>
      </c>
      <c r="K217" t="s">
        <v>32</v>
      </c>
      <c r="L217">
        <v>45</v>
      </c>
      <c r="M217" t="s">
        <v>47</v>
      </c>
      <c r="N217" t="s">
        <v>15</v>
      </c>
    </row>
    <row r="218" spans="1:14" x14ac:dyDescent="0.3">
      <c r="A218">
        <v>18674</v>
      </c>
      <c r="B218" t="s">
        <v>37</v>
      </c>
      <c r="C218" t="s">
        <v>42</v>
      </c>
      <c r="D218">
        <v>80000</v>
      </c>
      <c r="E218">
        <v>4</v>
      </c>
      <c r="F218" t="s">
        <v>31</v>
      </c>
      <c r="G218" t="s">
        <v>14</v>
      </c>
      <c r="H218" t="s">
        <v>18</v>
      </c>
      <c r="I218">
        <v>0</v>
      </c>
      <c r="J218" t="s">
        <v>16</v>
      </c>
      <c r="K218" t="s">
        <v>32</v>
      </c>
      <c r="L218">
        <v>48</v>
      </c>
      <c r="M218" t="s">
        <v>47</v>
      </c>
      <c r="N218" t="s">
        <v>18</v>
      </c>
    </row>
    <row r="219" spans="1:14" x14ac:dyDescent="0.3">
      <c r="A219">
        <v>13673</v>
      </c>
      <c r="B219" t="s">
        <v>37</v>
      </c>
      <c r="C219" t="s">
        <v>42</v>
      </c>
      <c r="D219">
        <v>20000</v>
      </c>
      <c r="E219">
        <v>0</v>
      </c>
      <c r="F219" t="s">
        <v>29</v>
      </c>
      <c r="G219" t="s">
        <v>25</v>
      </c>
      <c r="H219" t="s">
        <v>18</v>
      </c>
      <c r="I219">
        <v>2</v>
      </c>
      <c r="J219" t="s">
        <v>16</v>
      </c>
      <c r="K219" t="s">
        <v>17</v>
      </c>
      <c r="L219">
        <v>25</v>
      </c>
      <c r="M219" t="s">
        <v>49</v>
      </c>
      <c r="N219" t="s">
        <v>18</v>
      </c>
    </row>
    <row r="220" spans="1:14" x14ac:dyDescent="0.3">
      <c r="A220">
        <v>16043</v>
      </c>
      <c r="B220" t="s">
        <v>37</v>
      </c>
      <c r="C220" t="s">
        <v>38</v>
      </c>
      <c r="D220">
        <v>10000</v>
      </c>
      <c r="E220">
        <v>1</v>
      </c>
      <c r="F220" t="s">
        <v>13</v>
      </c>
      <c r="G220" t="s">
        <v>25</v>
      </c>
      <c r="H220" t="s">
        <v>15</v>
      </c>
      <c r="I220">
        <v>0</v>
      </c>
      <c r="J220" t="s">
        <v>16</v>
      </c>
      <c r="K220" t="s">
        <v>17</v>
      </c>
      <c r="L220">
        <v>48</v>
      </c>
      <c r="M220" t="s">
        <v>47</v>
      </c>
      <c r="N220" t="s">
        <v>18</v>
      </c>
    </row>
    <row r="221" spans="1:14" x14ac:dyDescent="0.3">
      <c r="A221">
        <v>11262</v>
      </c>
      <c r="B221" t="s">
        <v>36</v>
      </c>
      <c r="C221" t="s">
        <v>42</v>
      </c>
      <c r="D221">
        <v>80000</v>
      </c>
      <c r="E221">
        <v>4</v>
      </c>
      <c r="F221" t="s">
        <v>13</v>
      </c>
      <c r="G221" t="s">
        <v>28</v>
      </c>
      <c r="H221" t="s">
        <v>15</v>
      </c>
      <c r="I221">
        <v>0</v>
      </c>
      <c r="J221" t="s">
        <v>16</v>
      </c>
      <c r="K221" t="s">
        <v>32</v>
      </c>
      <c r="L221">
        <v>42</v>
      </c>
      <c r="M221" t="s">
        <v>47</v>
      </c>
      <c r="N221" t="s">
        <v>18</v>
      </c>
    </row>
    <row r="222" spans="1:14" x14ac:dyDescent="0.3">
      <c r="A222">
        <v>13907</v>
      </c>
      <c r="B222" t="s">
        <v>37</v>
      </c>
      <c r="C222" t="s">
        <v>42</v>
      </c>
      <c r="D222">
        <v>80000</v>
      </c>
      <c r="E222">
        <v>3</v>
      </c>
      <c r="F222" t="s">
        <v>13</v>
      </c>
      <c r="G222" t="s">
        <v>14</v>
      </c>
      <c r="H222" t="s">
        <v>15</v>
      </c>
      <c r="I222">
        <v>1</v>
      </c>
      <c r="J222" t="s">
        <v>16</v>
      </c>
      <c r="K222" t="s">
        <v>32</v>
      </c>
      <c r="L222">
        <v>41</v>
      </c>
      <c r="M222" t="s">
        <v>47</v>
      </c>
      <c r="N222" t="s">
        <v>15</v>
      </c>
    </row>
    <row r="223" spans="1:14" x14ac:dyDescent="0.3">
      <c r="A223">
        <v>29143</v>
      </c>
      <c r="B223" t="s">
        <v>37</v>
      </c>
      <c r="C223" t="s">
        <v>42</v>
      </c>
      <c r="D223">
        <v>60000</v>
      </c>
      <c r="E223">
        <v>1</v>
      </c>
      <c r="F223" t="s">
        <v>13</v>
      </c>
      <c r="G223" t="s">
        <v>21</v>
      </c>
      <c r="H223" t="s">
        <v>18</v>
      </c>
      <c r="I223">
        <v>1</v>
      </c>
      <c r="J223" t="s">
        <v>16</v>
      </c>
      <c r="K223" t="s">
        <v>32</v>
      </c>
      <c r="L223">
        <v>44</v>
      </c>
      <c r="M223" t="s">
        <v>47</v>
      </c>
      <c r="N223" t="s">
        <v>15</v>
      </c>
    </row>
    <row r="224" spans="1:14" x14ac:dyDescent="0.3">
      <c r="A224">
        <v>13813</v>
      </c>
      <c r="B224" t="s">
        <v>36</v>
      </c>
      <c r="C224" t="s">
        <v>42</v>
      </c>
      <c r="D224">
        <v>30000</v>
      </c>
      <c r="E224">
        <v>3</v>
      </c>
      <c r="F224" t="s">
        <v>19</v>
      </c>
      <c r="G224" t="s">
        <v>20</v>
      </c>
      <c r="H224" t="s">
        <v>18</v>
      </c>
      <c r="I224">
        <v>0</v>
      </c>
      <c r="J224" t="s">
        <v>16</v>
      </c>
      <c r="K224" t="s">
        <v>17</v>
      </c>
      <c r="L224">
        <v>42</v>
      </c>
      <c r="M224" t="s">
        <v>47</v>
      </c>
      <c r="N224" t="s">
        <v>18</v>
      </c>
    </row>
    <row r="225" spans="1:14" x14ac:dyDescent="0.3">
      <c r="A225">
        <v>11641</v>
      </c>
      <c r="B225" t="s">
        <v>36</v>
      </c>
      <c r="C225" t="s">
        <v>38</v>
      </c>
      <c r="D225">
        <v>50000</v>
      </c>
      <c r="E225">
        <v>1</v>
      </c>
      <c r="F225" t="s">
        <v>13</v>
      </c>
      <c r="G225" t="s">
        <v>14</v>
      </c>
      <c r="H225" t="s">
        <v>15</v>
      </c>
      <c r="I225">
        <v>0</v>
      </c>
      <c r="J225" t="s">
        <v>16</v>
      </c>
      <c r="K225" t="s">
        <v>32</v>
      </c>
      <c r="L225">
        <v>36</v>
      </c>
      <c r="M225" t="s">
        <v>47</v>
      </c>
      <c r="N225" t="s">
        <v>18</v>
      </c>
    </row>
    <row r="226" spans="1:14" x14ac:dyDescent="0.3">
      <c r="A226">
        <v>19650</v>
      </c>
      <c r="B226" t="s">
        <v>36</v>
      </c>
      <c r="C226" t="s">
        <v>42</v>
      </c>
      <c r="D226">
        <v>30000</v>
      </c>
      <c r="E226">
        <v>2</v>
      </c>
      <c r="F226" t="s">
        <v>19</v>
      </c>
      <c r="G226" t="s">
        <v>20</v>
      </c>
      <c r="H226" t="s">
        <v>18</v>
      </c>
      <c r="I226">
        <v>2</v>
      </c>
      <c r="J226" t="s">
        <v>16</v>
      </c>
      <c r="K226" t="s">
        <v>24</v>
      </c>
      <c r="L226">
        <v>67</v>
      </c>
      <c r="M226" t="s">
        <v>48</v>
      </c>
      <c r="N226" t="s">
        <v>18</v>
      </c>
    </row>
    <row r="227" spans="1:14" x14ac:dyDescent="0.3">
      <c r="A227">
        <v>13283</v>
      </c>
      <c r="B227" t="s">
        <v>36</v>
      </c>
      <c r="C227" t="s">
        <v>38</v>
      </c>
      <c r="D227">
        <v>80000</v>
      </c>
      <c r="E227">
        <v>3</v>
      </c>
      <c r="F227" t="s">
        <v>19</v>
      </c>
      <c r="G227" t="s">
        <v>21</v>
      </c>
      <c r="H227" t="s">
        <v>18</v>
      </c>
      <c r="I227">
        <v>2</v>
      </c>
      <c r="J227" t="s">
        <v>16</v>
      </c>
      <c r="K227" t="s">
        <v>32</v>
      </c>
      <c r="L227">
        <v>49</v>
      </c>
      <c r="M227" t="s">
        <v>47</v>
      </c>
      <c r="N227" t="s">
        <v>15</v>
      </c>
    </row>
    <row r="228" spans="1:14" x14ac:dyDescent="0.3">
      <c r="A228">
        <v>12833</v>
      </c>
      <c r="B228" t="s">
        <v>37</v>
      </c>
      <c r="C228" t="s">
        <v>42</v>
      </c>
      <c r="D228">
        <v>20000</v>
      </c>
      <c r="E228">
        <v>3</v>
      </c>
      <c r="F228" t="s">
        <v>27</v>
      </c>
      <c r="G228" t="s">
        <v>25</v>
      </c>
      <c r="H228" t="s">
        <v>15</v>
      </c>
      <c r="I228">
        <v>1</v>
      </c>
      <c r="J228" t="s">
        <v>16</v>
      </c>
      <c r="K228" t="s">
        <v>17</v>
      </c>
      <c r="L228">
        <v>42</v>
      </c>
      <c r="M228" t="s">
        <v>47</v>
      </c>
      <c r="N228" t="s">
        <v>15</v>
      </c>
    </row>
    <row r="229" spans="1:14" x14ac:dyDescent="0.3">
      <c r="A229">
        <v>26849</v>
      </c>
      <c r="B229" t="s">
        <v>36</v>
      </c>
      <c r="C229" t="s">
        <v>38</v>
      </c>
      <c r="D229">
        <v>10000</v>
      </c>
      <c r="E229">
        <v>3</v>
      </c>
      <c r="F229" t="s">
        <v>29</v>
      </c>
      <c r="G229" t="s">
        <v>25</v>
      </c>
      <c r="H229" t="s">
        <v>15</v>
      </c>
      <c r="I229">
        <v>2</v>
      </c>
      <c r="J229" t="s">
        <v>16</v>
      </c>
      <c r="K229" t="s">
        <v>17</v>
      </c>
      <c r="L229">
        <v>43</v>
      </c>
      <c r="M229" t="s">
        <v>47</v>
      </c>
      <c r="N229" t="s">
        <v>18</v>
      </c>
    </row>
    <row r="230" spans="1:14" x14ac:dyDescent="0.3">
      <c r="A230">
        <v>20962</v>
      </c>
      <c r="B230" t="s">
        <v>36</v>
      </c>
      <c r="C230" t="s">
        <v>42</v>
      </c>
      <c r="D230">
        <v>20000</v>
      </c>
      <c r="E230">
        <v>1</v>
      </c>
      <c r="F230" t="s">
        <v>31</v>
      </c>
      <c r="G230" t="s">
        <v>20</v>
      </c>
      <c r="H230" t="s">
        <v>15</v>
      </c>
      <c r="I230">
        <v>0</v>
      </c>
      <c r="J230" t="s">
        <v>16</v>
      </c>
      <c r="K230" t="s">
        <v>17</v>
      </c>
      <c r="L230">
        <v>45</v>
      </c>
      <c r="M230" t="s">
        <v>47</v>
      </c>
      <c r="N230" t="s">
        <v>18</v>
      </c>
    </row>
    <row r="231" spans="1:14" x14ac:dyDescent="0.3">
      <c r="A231">
        <v>19413</v>
      </c>
      <c r="B231" t="s">
        <v>37</v>
      </c>
      <c r="C231" t="s">
        <v>38</v>
      </c>
      <c r="D231">
        <v>60000</v>
      </c>
      <c r="E231">
        <v>3</v>
      </c>
      <c r="F231" t="s">
        <v>13</v>
      </c>
      <c r="G231" t="s">
        <v>21</v>
      </c>
      <c r="H231" t="s">
        <v>18</v>
      </c>
      <c r="I231">
        <v>1</v>
      </c>
      <c r="J231" t="s">
        <v>16</v>
      </c>
      <c r="K231" t="s">
        <v>32</v>
      </c>
      <c r="L231">
        <v>47</v>
      </c>
      <c r="M231" t="s">
        <v>47</v>
      </c>
      <c r="N231" t="s">
        <v>15</v>
      </c>
    </row>
    <row r="232" spans="1:14" x14ac:dyDescent="0.3">
      <c r="A232">
        <v>17269</v>
      </c>
      <c r="B232" t="s">
        <v>37</v>
      </c>
      <c r="C232" t="s">
        <v>38</v>
      </c>
      <c r="D232">
        <v>60000</v>
      </c>
      <c r="E232">
        <v>3</v>
      </c>
      <c r="F232" t="s">
        <v>13</v>
      </c>
      <c r="G232" t="s">
        <v>21</v>
      </c>
      <c r="H232" t="s">
        <v>18</v>
      </c>
      <c r="I232">
        <v>0</v>
      </c>
      <c r="J232" t="s">
        <v>16</v>
      </c>
      <c r="K232" t="s">
        <v>32</v>
      </c>
      <c r="L232">
        <v>47</v>
      </c>
      <c r="M232" t="s">
        <v>47</v>
      </c>
      <c r="N232" t="s">
        <v>15</v>
      </c>
    </row>
    <row r="233" spans="1:14" x14ac:dyDescent="0.3">
      <c r="A233">
        <v>14777</v>
      </c>
      <c r="B233" t="s">
        <v>36</v>
      </c>
      <c r="C233" t="s">
        <v>42</v>
      </c>
      <c r="D233">
        <v>40000</v>
      </c>
      <c r="E233">
        <v>0</v>
      </c>
      <c r="F233" t="s">
        <v>13</v>
      </c>
      <c r="G233" t="s">
        <v>20</v>
      </c>
      <c r="H233" t="s">
        <v>15</v>
      </c>
      <c r="I233">
        <v>0</v>
      </c>
      <c r="J233" t="s">
        <v>16</v>
      </c>
      <c r="K233" t="s">
        <v>17</v>
      </c>
      <c r="L233">
        <v>38</v>
      </c>
      <c r="M233" t="s">
        <v>47</v>
      </c>
      <c r="N233" t="s">
        <v>15</v>
      </c>
    </row>
    <row r="234" spans="1:14" x14ac:dyDescent="0.3">
      <c r="A234">
        <v>12591</v>
      </c>
      <c r="B234" t="s">
        <v>36</v>
      </c>
      <c r="C234" t="s">
        <v>42</v>
      </c>
      <c r="D234">
        <v>30000</v>
      </c>
      <c r="E234">
        <v>4</v>
      </c>
      <c r="F234" t="s">
        <v>31</v>
      </c>
      <c r="G234" t="s">
        <v>20</v>
      </c>
      <c r="H234" t="s">
        <v>15</v>
      </c>
      <c r="I234">
        <v>0</v>
      </c>
      <c r="J234" t="s">
        <v>16</v>
      </c>
      <c r="K234" t="s">
        <v>17</v>
      </c>
      <c r="L234">
        <v>45</v>
      </c>
      <c r="M234" t="s">
        <v>47</v>
      </c>
      <c r="N234" t="s">
        <v>18</v>
      </c>
    </row>
    <row r="235" spans="1:14" x14ac:dyDescent="0.3">
      <c r="A235">
        <v>24174</v>
      </c>
      <c r="B235" t="s">
        <v>36</v>
      </c>
      <c r="C235" t="s">
        <v>38</v>
      </c>
      <c r="D235">
        <v>20000</v>
      </c>
      <c r="E235">
        <v>0</v>
      </c>
      <c r="F235" t="s">
        <v>13</v>
      </c>
      <c r="G235" t="s">
        <v>20</v>
      </c>
      <c r="H235" t="s">
        <v>15</v>
      </c>
      <c r="I235">
        <v>0</v>
      </c>
      <c r="J235" t="s">
        <v>16</v>
      </c>
      <c r="K235" t="s">
        <v>24</v>
      </c>
      <c r="L235">
        <v>27</v>
      </c>
      <c r="M235" t="s">
        <v>49</v>
      </c>
      <c r="N235" t="s">
        <v>15</v>
      </c>
    </row>
    <row r="236" spans="1:14" x14ac:dyDescent="0.3">
      <c r="A236">
        <v>18052</v>
      </c>
      <c r="B236" t="s">
        <v>36</v>
      </c>
      <c r="C236" t="s">
        <v>42</v>
      </c>
      <c r="D236">
        <v>60000</v>
      </c>
      <c r="E236">
        <v>1</v>
      </c>
      <c r="F236" t="s">
        <v>19</v>
      </c>
      <c r="G236" t="s">
        <v>14</v>
      </c>
      <c r="H236" t="s">
        <v>15</v>
      </c>
      <c r="I236">
        <v>1</v>
      </c>
      <c r="J236" t="s">
        <v>16</v>
      </c>
      <c r="K236" t="s">
        <v>32</v>
      </c>
      <c r="L236">
        <v>45</v>
      </c>
      <c r="M236" t="s">
        <v>47</v>
      </c>
      <c r="N236" t="s">
        <v>15</v>
      </c>
    </row>
    <row r="237" spans="1:14" x14ac:dyDescent="0.3">
      <c r="A237">
        <v>11340</v>
      </c>
      <c r="B237" t="s">
        <v>36</v>
      </c>
      <c r="C237" t="s">
        <v>42</v>
      </c>
      <c r="D237">
        <v>10000</v>
      </c>
      <c r="E237">
        <v>1</v>
      </c>
      <c r="F237" t="s">
        <v>31</v>
      </c>
      <c r="G237" t="s">
        <v>20</v>
      </c>
      <c r="H237" t="s">
        <v>15</v>
      </c>
      <c r="I237">
        <v>0</v>
      </c>
      <c r="J237" t="s">
        <v>16</v>
      </c>
      <c r="K237" t="s">
        <v>17</v>
      </c>
      <c r="L237">
        <v>70</v>
      </c>
      <c r="M237" t="s">
        <v>48</v>
      </c>
      <c r="N237" t="s">
        <v>15</v>
      </c>
    </row>
    <row r="238" spans="1:14" x14ac:dyDescent="0.3">
      <c r="A238">
        <v>25693</v>
      </c>
      <c r="B238" t="s">
        <v>37</v>
      </c>
      <c r="C238" t="s">
        <v>42</v>
      </c>
      <c r="D238">
        <v>30000</v>
      </c>
      <c r="E238">
        <v>5</v>
      </c>
      <c r="F238" t="s">
        <v>31</v>
      </c>
      <c r="G238" t="s">
        <v>20</v>
      </c>
      <c r="H238" t="s">
        <v>15</v>
      </c>
      <c r="I238">
        <v>0</v>
      </c>
      <c r="J238" t="s">
        <v>16</v>
      </c>
      <c r="K238" t="s">
        <v>17</v>
      </c>
      <c r="L238">
        <v>44</v>
      </c>
      <c r="M238" t="s">
        <v>47</v>
      </c>
      <c r="N238" t="s">
        <v>15</v>
      </c>
    </row>
    <row r="239" spans="1:14" x14ac:dyDescent="0.3">
      <c r="A239">
        <v>25555</v>
      </c>
      <c r="B239" t="s">
        <v>36</v>
      </c>
      <c r="C239" t="s">
        <v>42</v>
      </c>
      <c r="D239">
        <v>10000</v>
      </c>
      <c r="E239">
        <v>0</v>
      </c>
      <c r="F239" t="s">
        <v>19</v>
      </c>
      <c r="G239" t="s">
        <v>25</v>
      </c>
      <c r="H239" t="s">
        <v>18</v>
      </c>
      <c r="I239">
        <v>1</v>
      </c>
      <c r="J239" t="s">
        <v>16</v>
      </c>
      <c r="K239" t="s">
        <v>24</v>
      </c>
      <c r="L239">
        <v>26</v>
      </c>
      <c r="M239" t="s">
        <v>49</v>
      </c>
      <c r="N239" t="s">
        <v>15</v>
      </c>
    </row>
    <row r="240" spans="1:14" x14ac:dyDescent="0.3">
      <c r="A240">
        <v>15940</v>
      </c>
      <c r="B240" t="s">
        <v>36</v>
      </c>
      <c r="C240" t="s">
        <v>38</v>
      </c>
      <c r="D240">
        <v>100000</v>
      </c>
      <c r="E240">
        <v>4</v>
      </c>
      <c r="F240" t="s">
        <v>19</v>
      </c>
      <c r="G240" t="s">
        <v>21</v>
      </c>
      <c r="H240" t="s">
        <v>15</v>
      </c>
      <c r="I240">
        <v>4</v>
      </c>
      <c r="J240" t="s">
        <v>16</v>
      </c>
      <c r="K240" t="s">
        <v>32</v>
      </c>
      <c r="L240">
        <v>40</v>
      </c>
      <c r="M240" t="s">
        <v>47</v>
      </c>
      <c r="N240" t="s">
        <v>18</v>
      </c>
    </row>
    <row r="241" spans="1:14" x14ac:dyDescent="0.3">
      <c r="A241">
        <v>19235</v>
      </c>
      <c r="B241" t="s">
        <v>36</v>
      </c>
      <c r="C241" t="s">
        <v>42</v>
      </c>
      <c r="D241">
        <v>50000</v>
      </c>
      <c r="E241">
        <v>0</v>
      </c>
      <c r="F241" t="s">
        <v>31</v>
      </c>
      <c r="G241" t="s">
        <v>14</v>
      </c>
      <c r="H241" t="s">
        <v>15</v>
      </c>
      <c r="I241">
        <v>0</v>
      </c>
      <c r="J241" t="s">
        <v>16</v>
      </c>
      <c r="K241" t="s">
        <v>32</v>
      </c>
      <c r="L241">
        <v>34</v>
      </c>
      <c r="M241" t="s">
        <v>47</v>
      </c>
      <c r="N241" t="s">
        <v>18</v>
      </c>
    </row>
    <row r="242" spans="1:14" x14ac:dyDescent="0.3">
      <c r="A242">
        <v>17702</v>
      </c>
      <c r="B242" t="s">
        <v>36</v>
      </c>
      <c r="C242" t="s">
        <v>38</v>
      </c>
      <c r="D242">
        <v>10000</v>
      </c>
      <c r="E242">
        <v>1</v>
      </c>
      <c r="F242" t="s">
        <v>31</v>
      </c>
      <c r="G242" t="s">
        <v>25</v>
      </c>
      <c r="H242" t="s">
        <v>15</v>
      </c>
      <c r="I242">
        <v>0</v>
      </c>
      <c r="J242" t="s">
        <v>16</v>
      </c>
      <c r="K242" t="s">
        <v>17</v>
      </c>
      <c r="L242">
        <v>37</v>
      </c>
      <c r="M242" t="s">
        <v>47</v>
      </c>
      <c r="N242" t="s">
        <v>18</v>
      </c>
    </row>
    <row r="243" spans="1:14" x14ac:dyDescent="0.3">
      <c r="A243">
        <v>12503</v>
      </c>
      <c r="B243" t="s">
        <v>37</v>
      </c>
      <c r="C243" t="s">
        <v>42</v>
      </c>
      <c r="D243">
        <v>30000</v>
      </c>
      <c r="E243">
        <v>3</v>
      </c>
      <c r="F243" t="s">
        <v>19</v>
      </c>
      <c r="G243" t="s">
        <v>20</v>
      </c>
      <c r="H243" t="s">
        <v>15</v>
      </c>
      <c r="I243">
        <v>2</v>
      </c>
      <c r="J243" t="s">
        <v>16</v>
      </c>
      <c r="K243" t="s">
        <v>17</v>
      </c>
      <c r="L243">
        <v>27</v>
      </c>
      <c r="M243" t="s">
        <v>49</v>
      </c>
      <c r="N243" t="s">
        <v>18</v>
      </c>
    </row>
    <row r="244" spans="1:14" x14ac:dyDescent="0.3">
      <c r="A244">
        <v>23908</v>
      </c>
      <c r="B244" t="s">
        <v>37</v>
      </c>
      <c r="C244" t="s">
        <v>38</v>
      </c>
      <c r="D244">
        <v>30000</v>
      </c>
      <c r="E244">
        <v>1</v>
      </c>
      <c r="F244" t="s">
        <v>13</v>
      </c>
      <c r="G244" t="s">
        <v>20</v>
      </c>
      <c r="H244" t="s">
        <v>18</v>
      </c>
      <c r="I244">
        <v>1</v>
      </c>
      <c r="J244" t="s">
        <v>16</v>
      </c>
      <c r="K244" t="s">
        <v>17</v>
      </c>
      <c r="L244">
        <v>39</v>
      </c>
      <c r="M244" t="s">
        <v>47</v>
      </c>
      <c r="N244" t="s">
        <v>15</v>
      </c>
    </row>
    <row r="245" spans="1:14" x14ac:dyDescent="0.3">
      <c r="A245">
        <v>27835</v>
      </c>
      <c r="B245" t="s">
        <v>36</v>
      </c>
      <c r="C245" t="s">
        <v>38</v>
      </c>
      <c r="D245">
        <v>20000</v>
      </c>
      <c r="E245">
        <v>0</v>
      </c>
      <c r="F245" t="s">
        <v>29</v>
      </c>
      <c r="G245" t="s">
        <v>25</v>
      </c>
      <c r="H245" t="s">
        <v>15</v>
      </c>
      <c r="I245">
        <v>2</v>
      </c>
      <c r="J245" t="s">
        <v>16</v>
      </c>
      <c r="K245" t="s">
        <v>17</v>
      </c>
      <c r="L245">
        <v>32</v>
      </c>
      <c r="M245" t="s">
        <v>47</v>
      </c>
      <c r="N245" t="s">
        <v>18</v>
      </c>
    </row>
    <row r="246" spans="1:14" x14ac:dyDescent="0.3">
      <c r="A246">
        <v>12821</v>
      </c>
      <c r="B246" t="s">
        <v>36</v>
      </c>
      <c r="C246" t="s">
        <v>38</v>
      </c>
      <c r="D246">
        <v>40000</v>
      </c>
      <c r="E246">
        <v>0</v>
      </c>
      <c r="F246" t="s">
        <v>13</v>
      </c>
      <c r="G246" t="s">
        <v>20</v>
      </c>
      <c r="H246" t="s">
        <v>15</v>
      </c>
      <c r="I246">
        <v>0</v>
      </c>
      <c r="J246" t="s">
        <v>16</v>
      </c>
      <c r="K246" t="s">
        <v>17</v>
      </c>
      <c r="L246">
        <v>39</v>
      </c>
      <c r="M246" t="s">
        <v>47</v>
      </c>
      <c r="N246" t="s">
        <v>18</v>
      </c>
    </row>
    <row r="247" spans="1:14" x14ac:dyDescent="0.3">
      <c r="A247">
        <v>19491</v>
      </c>
      <c r="B247" t="s">
        <v>37</v>
      </c>
      <c r="C247" t="s">
        <v>38</v>
      </c>
      <c r="D247">
        <v>30000</v>
      </c>
      <c r="E247">
        <v>2</v>
      </c>
      <c r="F247" t="s">
        <v>19</v>
      </c>
      <c r="G247" t="s">
        <v>20</v>
      </c>
      <c r="H247" t="s">
        <v>15</v>
      </c>
      <c r="I247">
        <v>2</v>
      </c>
      <c r="J247" t="s">
        <v>16</v>
      </c>
      <c r="K247" t="s">
        <v>17</v>
      </c>
      <c r="L247">
        <v>42</v>
      </c>
      <c r="M247" t="s">
        <v>47</v>
      </c>
      <c r="N247" t="s">
        <v>18</v>
      </c>
    </row>
    <row r="248" spans="1:14" x14ac:dyDescent="0.3">
      <c r="A248">
        <v>11249</v>
      </c>
      <c r="B248" t="s">
        <v>36</v>
      </c>
      <c r="C248" t="s">
        <v>42</v>
      </c>
      <c r="D248">
        <v>130000</v>
      </c>
      <c r="E248">
        <v>3</v>
      </c>
      <c r="F248" t="s">
        <v>19</v>
      </c>
      <c r="G248" t="s">
        <v>21</v>
      </c>
      <c r="H248" t="s">
        <v>15</v>
      </c>
      <c r="I248">
        <v>3</v>
      </c>
      <c r="J248" t="s">
        <v>16</v>
      </c>
      <c r="K248" t="s">
        <v>17</v>
      </c>
      <c r="L248">
        <v>51</v>
      </c>
      <c r="M248" t="s">
        <v>47</v>
      </c>
      <c r="N248" t="s">
        <v>15</v>
      </c>
    </row>
    <row r="249" spans="1:14" x14ac:dyDescent="0.3">
      <c r="A249">
        <v>15450</v>
      </c>
      <c r="B249" t="s">
        <v>36</v>
      </c>
      <c r="C249" t="s">
        <v>38</v>
      </c>
      <c r="D249">
        <v>10000</v>
      </c>
      <c r="E249">
        <v>1</v>
      </c>
      <c r="F249" t="s">
        <v>31</v>
      </c>
      <c r="G249" t="s">
        <v>20</v>
      </c>
      <c r="H249" t="s">
        <v>15</v>
      </c>
      <c r="I249">
        <v>0</v>
      </c>
      <c r="J249" t="s">
        <v>16</v>
      </c>
      <c r="K249" t="s">
        <v>17</v>
      </c>
      <c r="L249">
        <v>70</v>
      </c>
      <c r="M249" t="s">
        <v>48</v>
      </c>
      <c r="N249" t="s">
        <v>18</v>
      </c>
    </row>
    <row r="250" spans="1:14" x14ac:dyDescent="0.3">
      <c r="A250">
        <v>28521</v>
      </c>
      <c r="B250" t="s">
        <v>37</v>
      </c>
      <c r="C250" t="s">
        <v>38</v>
      </c>
      <c r="D250">
        <v>40000</v>
      </c>
      <c r="E250">
        <v>0</v>
      </c>
      <c r="F250" t="s">
        <v>31</v>
      </c>
      <c r="G250" t="s">
        <v>20</v>
      </c>
      <c r="H250" t="s">
        <v>18</v>
      </c>
      <c r="I250">
        <v>0</v>
      </c>
      <c r="J250" t="s">
        <v>16</v>
      </c>
      <c r="K250" t="s">
        <v>17</v>
      </c>
      <c r="L250">
        <v>36</v>
      </c>
      <c r="M250" t="s">
        <v>47</v>
      </c>
      <c r="N250" t="s">
        <v>15</v>
      </c>
    </row>
    <row r="251" spans="1:14" x14ac:dyDescent="0.3">
      <c r="A251">
        <v>26984</v>
      </c>
      <c r="B251" t="s">
        <v>36</v>
      </c>
      <c r="C251" t="s">
        <v>38</v>
      </c>
      <c r="D251">
        <v>40000</v>
      </c>
      <c r="E251">
        <v>1</v>
      </c>
      <c r="F251" t="s">
        <v>13</v>
      </c>
      <c r="G251" t="s">
        <v>14</v>
      </c>
      <c r="H251" t="s">
        <v>15</v>
      </c>
      <c r="I251">
        <v>1</v>
      </c>
      <c r="J251" t="s">
        <v>16</v>
      </c>
      <c r="K251" t="s">
        <v>17</v>
      </c>
      <c r="L251">
        <v>32</v>
      </c>
      <c r="M251" t="s">
        <v>47</v>
      </c>
      <c r="N251" t="s">
        <v>15</v>
      </c>
    </row>
    <row r="252" spans="1:14" x14ac:dyDescent="0.3">
      <c r="A252">
        <v>22610</v>
      </c>
      <c r="B252" t="s">
        <v>36</v>
      </c>
      <c r="C252" t="s">
        <v>38</v>
      </c>
      <c r="D252">
        <v>30000</v>
      </c>
      <c r="E252">
        <v>0</v>
      </c>
      <c r="F252" t="s">
        <v>13</v>
      </c>
      <c r="G252" t="s">
        <v>20</v>
      </c>
      <c r="H252" t="s">
        <v>15</v>
      </c>
      <c r="I252">
        <v>0</v>
      </c>
      <c r="J252" t="s">
        <v>16</v>
      </c>
      <c r="K252" t="s">
        <v>17</v>
      </c>
      <c r="L252">
        <v>35</v>
      </c>
      <c r="M252" t="s">
        <v>47</v>
      </c>
      <c r="N252" t="s">
        <v>15</v>
      </c>
    </row>
    <row r="253" spans="1:14" x14ac:dyDescent="0.3">
      <c r="A253">
        <v>18172</v>
      </c>
      <c r="B253" t="s">
        <v>36</v>
      </c>
      <c r="C253" t="s">
        <v>38</v>
      </c>
      <c r="D253">
        <v>130000</v>
      </c>
      <c r="E253">
        <v>4</v>
      </c>
      <c r="F253" t="s">
        <v>27</v>
      </c>
      <c r="G253" t="s">
        <v>21</v>
      </c>
      <c r="H253" t="s">
        <v>15</v>
      </c>
      <c r="I253">
        <v>3</v>
      </c>
      <c r="J253" t="s">
        <v>16</v>
      </c>
      <c r="K253" t="s">
        <v>17</v>
      </c>
      <c r="L253">
        <v>55</v>
      </c>
      <c r="M253" t="s">
        <v>47</v>
      </c>
      <c r="N253" t="s">
        <v>18</v>
      </c>
    </row>
    <row r="254" spans="1:14" x14ac:dyDescent="0.3">
      <c r="A254">
        <v>27585</v>
      </c>
      <c r="B254" t="s">
        <v>36</v>
      </c>
      <c r="C254" t="s">
        <v>42</v>
      </c>
      <c r="D254">
        <v>90000</v>
      </c>
      <c r="E254">
        <v>2</v>
      </c>
      <c r="F254" t="s">
        <v>13</v>
      </c>
      <c r="G254" t="s">
        <v>21</v>
      </c>
      <c r="H254" t="s">
        <v>18</v>
      </c>
      <c r="I254">
        <v>0</v>
      </c>
      <c r="J254" t="s">
        <v>16</v>
      </c>
      <c r="K254" t="s">
        <v>24</v>
      </c>
      <c r="L254">
        <v>36</v>
      </c>
      <c r="M254" t="s">
        <v>47</v>
      </c>
      <c r="N254" t="s">
        <v>15</v>
      </c>
    </row>
    <row r="255" spans="1:14" x14ac:dyDescent="0.3">
      <c r="A255">
        <v>15665</v>
      </c>
      <c r="B255" t="s">
        <v>36</v>
      </c>
      <c r="C255" t="s">
        <v>42</v>
      </c>
      <c r="D255">
        <v>30000</v>
      </c>
      <c r="E255">
        <v>0</v>
      </c>
      <c r="F255" t="s">
        <v>13</v>
      </c>
      <c r="G255" t="s">
        <v>20</v>
      </c>
      <c r="H255" t="s">
        <v>15</v>
      </c>
      <c r="I255">
        <v>0</v>
      </c>
      <c r="J255" t="s">
        <v>16</v>
      </c>
      <c r="K255" t="s">
        <v>17</v>
      </c>
      <c r="L255">
        <v>47</v>
      </c>
      <c r="M255" t="s">
        <v>47</v>
      </c>
      <c r="N255" t="s">
        <v>15</v>
      </c>
    </row>
    <row r="256" spans="1:14" x14ac:dyDescent="0.3">
      <c r="A256">
        <v>22634</v>
      </c>
      <c r="B256" t="s">
        <v>37</v>
      </c>
      <c r="C256" t="s">
        <v>42</v>
      </c>
      <c r="D256">
        <v>40000</v>
      </c>
      <c r="E256">
        <v>0</v>
      </c>
      <c r="F256" t="s">
        <v>31</v>
      </c>
      <c r="G256" t="s">
        <v>20</v>
      </c>
      <c r="H256" t="s">
        <v>15</v>
      </c>
      <c r="I256">
        <v>0</v>
      </c>
      <c r="J256" t="s">
        <v>16</v>
      </c>
      <c r="K256" t="s">
        <v>17</v>
      </c>
      <c r="L256">
        <v>38</v>
      </c>
      <c r="M256" t="s">
        <v>47</v>
      </c>
      <c r="N256" t="s">
        <v>15</v>
      </c>
    </row>
    <row r="257" spans="1:14" x14ac:dyDescent="0.3">
      <c r="A257">
        <v>20839</v>
      </c>
      <c r="B257" t="s">
        <v>37</v>
      </c>
      <c r="C257" t="s">
        <v>42</v>
      </c>
      <c r="D257">
        <v>30000</v>
      </c>
      <c r="E257">
        <v>3</v>
      </c>
      <c r="F257" t="s">
        <v>31</v>
      </c>
      <c r="G257" t="s">
        <v>20</v>
      </c>
      <c r="H257" t="s">
        <v>15</v>
      </c>
      <c r="I257">
        <v>0</v>
      </c>
      <c r="J257" t="s">
        <v>16</v>
      </c>
      <c r="K257" t="s">
        <v>17</v>
      </c>
      <c r="L257">
        <v>47</v>
      </c>
      <c r="M257" t="s">
        <v>47</v>
      </c>
      <c r="N257" t="s">
        <v>15</v>
      </c>
    </row>
    <row r="258" spans="1:14" x14ac:dyDescent="0.3">
      <c r="A258">
        <v>21738</v>
      </c>
      <c r="B258" t="s">
        <v>36</v>
      </c>
      <c r="C258" t="s">
        <v>38</v>
      </c>
      <c r="D258">
        <v>20000</v>
      </c>
      <c r="E258">
        <v>1</v>
      </c>
      <c r="F258" t="s">
        <v>31</v>
      </c>
      <c r="G258" t="s">
        <v>20</v>
      </c>
      <c r="H258" t="s">
        <v>15</v>
      </c>
      <c r="I258">
        <v>0</v>
      </c>
      <c r="J258" t="s">
        <v>16</v>
      </c>
      <c r="K258" t="s">
        <v>17</v>
      </c>
      <c r="L258">
        <v>43</v>
      </c>
      <c r="M258" t="s">
        <v>47</v>
      </c>
      <c r="N258" t="s">
        <v>18</v>
      </c>
    </row>
    <row r="259" spans="1:14" x14ac:dyDescent="0.3">
      <c r="A259">
        <v>14164</v>
      </c>
      <c r="B259" t="s">
        <v>37</v>
      </c>
      <c r="C259" t="s">
        <v>42</v>
      </c>
      <c r="D259">
        <v>50000</v>
      </c>
      <c r="E259">
        <v>0</v>
      </c>
      <c r="F259" t="s">
        <v>31</v>
      </c>
      <c r="G259" t="s">
        <v>14</v>
      </c>
      <c r="H259" t="s">
        <v>15</v>
      </c>
      <c r="I259">
        <v>0</v>
      </c>
      <c r="J259" t="s">
        <v>16</v>
      </c>
      <c r="K259" t="s">
        <v>17</v>
      </c>
      <c r="L259">
        <v>36</v>
      </c>
      <c r="M259" t="s">
        <v>47</v>
      </c>
      <c r="N259" t="s">
        <v>15</v>
      </c>
    </row>
    <row r="260" spans="1:14" x14ac:dyDescent="0.3">
      <c r="A260">
        <v>20147</v>
      </c>
      <c r="B260" t="s">
        <v>36</v>
      </c>
      <c r="C260" t="s">
        <v>42</v>
      </c>
      <c r="D260">
        <v>30000</v>
      </c>
      <c r="E260">
        <v>1</v>
      </c>
      <c r="F260" t="s">
        <v>13</v>
      </c>
      <c r="G260" t="s">
        <v>20</v>
      </c>
      <c r="H260" t="s">
        <v>15</v>
      </c>
      <c r="I260">
        <v>0</v>
      </c>
      <c r="J260" t="s">
        <v>16</v>
      </c>
      <c r="K260" t="s">
        <v>17</v>
      </c>
      <c r="L260">
        <v>65</v>
      </c>
      <c r="M260" t="s">
        <v>48</v>
      </c>
      <c r="N260" t="s">
        <v>18</v>
      </c>
    </row>
    <row r="261" spans="1:14" x14ac:dyDescent="0.3">
      <c r="A261">
        <v>12705</v>
      </c>
      <c r="B261" t="s">
        <v>36</v>
      </c>
      <c r="C261" t="s">
        <v>38</v>
      </c>
      <c r="D261">
        <v>150000</v>
      </c>
      <c r="E261">
        <v>0</v>
      </c>
      <c r="F261" t="s">
        <v>13</v>
      </c>
      <c r="G261" t="s">
        <v>28</v>
      </c>
      <c r="H261" t="s">
        <v>15</v>
      </c>
      <c r="I261">
        <v>4</v>
      </c>
      <c r="J261" t="s">
        <v>16</v>
      </c>
      <c r="K261" t="s">
        <v>24</v>
      </c>
      <c r="L261">
        <v>37</v>
      </c>
      <c r="M261" t="s">
        <v>47</v>
      </c>
      <c r="N261" t="s">
        <v>15</v>
      </c>
    </row>
    <row r="262" spans="1:14" x14ac:dyDescent="0.3">
      <c r="A262">
        <v>22672</v>
      </c>
      <c r="B262" t="s">
        <v>37</v>
      </c>
      <c r="C262" t="s">
        <v>42</v>
      </c>
      <c r="D262">
        <v>30000</v>
      </c>
      <c r="E262">
        <v>2</v>
      </c>
      <c r="F262" t="s">
        <v>19</v>
      </c>
      <c r="G262" t="s">
        <v>20</v>
      </c>
      <c r="H262" t="s">
        <v>15</v>
      </c>
      <c r="I262">
        <v>0</v>
      </c>
      <c r="J262" t="s">
        <v>16</v>
      </c>
      <c r="K262" t="s">
        <v>17</v>
      </c>
      <c r="L262">
        <v>43</v>
      </c>
      <c r="M262" t="s">
        <v>47</v>
      </c>
      <c r="N262" t="s">
        <v>18</v>
      </c>
    </row>
    <row r="263" spans="1:14" x14ac:dyDescent="0.3">
      <c r="A263">
        <v>18253</v>
      </c>
      <c r="B263" t="s">
        <v>36</v>
      </c>
      <c r="C263" t="s">
        <v>42</v>
      </c>
      <c r="D263">
        <v>80000</v>
      </c>
      <c r="E263">
        <v>5</v>
      </c>
      <c r="F263" t="s">
        <v>31</v>
      </c>
      <c r="G263" t="s">
        <v>28</v>
      </c>
      <c r="H263" t="s">
        <v>15</v>
      </c>
      <c r="I263">
        <v>3</v>
      </c>
      <c r="J263" t="s">
        <v>16</v>
      </c>
      <c r="K263" t="s">
        <v>24</v>
      </c>
      <c r="L263">
        <v>40</v>
      </c>
      <c r="M263" t="s">
        <v>47</v>
      </c>
      <c r="N263" t="s">
        <v>18</v>
      </c>
    </row>
    <row r="264" spans="1:14" x14ac:dyDescent="0.3">
      <c r="A264">
        <v>24305</v>
      </c>
      <c r="B264" t="s">
        <v>37</v>
      </c>
      <c r="C264" t="s">
        <v>38</v>
      </c>
      <c r="D264">
        <v>100000</v>
      </c>
      <c r="E264">
        <v>1</v>
      </c>
      <c r="F264" t="s">
        <v>13</v>
      </c>
      <c r="G264" t="s">
        <v>28</v>
      </c>
      <c r="H264" t="s">
        <v>18</v>
      </c>
      <c r="I264">
        <v>3</v>
      </c>
      <c r="J264" t="s">
        <v>16</v>
      </c>
      <c r="K264" t="s">
        <v>24</v>
      </c>
      <c r="L264">
        <v>46</v>
      </c>
      <c r="M264" t="s">
        <v>47</v>
      </c>
      <c r="N264" t="s">
        <v>15</v>
      </c>
    </row>
    <row r="265" spans="1:14" x14ac:dyDescent="0.3">
      <c r="A265">
        <v>16549</v>
      </c>
      <c r="B265" t="s">
        <v>37</v>
      </c>
      <c r="C265" t="s">
        <v>42</v>
      </c>
      <c r="D265">
        <v>30000</v>
      </c>
      <c r="E265">
        <v>3</v>
      </c>
      <c r="F265" t="s">
        <v>13</v>
      </c>
      <c r="G265" t="s">
        <v>20</v>
      </c>
      <c r="H265" t="s">
        <v>15</v>
      </c>
      <c r="I265">
        <v>0</v>
      </c>
      <c r="J265" t="s">
        <v>16</v>
      </c>
      <c r="K265" t="s">
        <v>17</v>
      </c>
      <c r="L265">
        <v>47</v>
      </c>
      <c r="M265" t="s">
        <v>47</v>
      </c>
      <c r="N265" t="s">
        <v>15</v>
      </c>
    </row>
    <row r="266" spans="1:14" x14ac:dyDescent="0.3">
      <c r="A266">
        <v>17964</v>
      </c>
      <c r="B266" t="s">
        <v>36</v>
      </c>
      <c r="C266" t="s">
        <v>38</v>
      </c>
      <c r="D266">
        <v>40000</v>
      </c>
      <c r="E266">
        <v>0</v>
      </c>
      <c r="F266" t="s">
        <v>31</v>
      </c>
      <c r="G266" t="s">
        <v>20</v>
      </c>
      <c r="H266" t="s">
        <v>15</v>
      </c>
      <c r="I266">
        <v>0</v>
      </c>
      <c r="J266" t="s">
        <v>16</v>
      </c>
      <c r="K266" t="s">
        <v>17</v>
      </c>
      <c r="L266">
        <v>37</v>
      </c>
      <c r="M266" t="s">
        <v>47</v>
      </c>
      <c r="N266" t="s">
        <v>15</v>
      </c>
    </row>
    <row r="267" spans="1:14" x14ac:dyDescent="0.3">
      <c r="A267">
        <v>20919</v>
      </c>
      <c r="B267" t="s">
        <v>37</v>
      </c>
      <c r="C267" t="s">
        <v>42</v>
      </c>
      <c r="D267">
        <v>30000</v>
      </c>
      <c r="E267">
        <v>2</v>
      </c>
      <c r="F267" t="s">
        <v>19</v>
      </c>
      <c r="G267" t="s">
        <v>20</v>
      </c>
      <c r="H267" t="s">
        <v>15</v>
      </c>
      <c r="I267">
        <v>2</v>
      </c>
      <c r="J267" t="s">
        <v>16</v>
      </c>
      <c r="K267" t="s">
        <v>17</v>
      </c>
      <c r="L267">
        <v>42</v>
      </c>
      <c r="M267" t="s">
        <v>47</v>
      </c>
      <c r="N267" t="s">
        <v>18</v>
      </c>
    </row>
    <row r="268" spans="1:14" x14ac:dyDescent="0.3">
      <c r="A268">
        <v>20927</v>
      </c>
      <c r="B268" t="s">
        <v>37</v>
      </c>
      <c r="C268" t="s">
        <v>42</v>
      </c>
      <c r="D268">
        <v>20000</v>
      </c>
      <c r="E268">
        <v>5</v>
      </c>
      <c r="F268" t="s">
        <v>27</v>
      </c>
      <c r="G268" t="s">
        <v>25</v>
      </c>
      <c r="H268" t="s">
        <v>15</v>
      </c>
      <c r="I268">
        <v>2</v>
      </c>
      <c r="J268" t="s">
        <v>16</v>
      </c>
      <c r="K268" t="s">
        <v>17</v>
      </c>
      <c r="L268">
        <v>27</v>
      </c>
      <c r="M268" t="s">
        <v>49</v>
      </c>
      <c r="N268" t="s">
        <v>18</v>
      </c>
    </row>
    <row r="269" spans="1:14" x14ac:dyDescent="0.3">
      <c r="A269">
        <v>11149</v>
      </c>
      <c r="B269" t="s">
        <v>36</v>
      </c>
      <c r="C269" t="s">
        <v>38</v>
      </c>
      <c r="D269">
        <v>40000</v>
      </c>
      <c r="E269">
        <v>2</v>
      </c>
      <c r="F269" t="s">
        <v>13</v>
      </c>
      <c r="G269" t="s">
        <v>28</v>
      </c>
      <c r="H269" t="s">
        <v>15</v>
      </c>
      <c r="I269">
        <v>2</v>
      </c>
      <c r="J269" t="s">
        <v>16</v>
      </c>
      <c r="K269" t="s">
        <v>24</v>
      </c>
      <c r="L269">
        <v>65</v>
      </c>
      <c r="M269" t="s">
        <v>48</v>
      </c>
      <c r="N269" t="s">
        <v>18</v>
      </c>
    </row>
    <row r="270" spans="1:14" x14ac:dyDescent="0.3">
      <c r="A270">
        <v>17754</v>
      </c>
      <c r="B270" t="s">
        <v>37</v>
      </c>
      <c r="C270" t="s">
        <v>42</v>
      </c>
      <c r="D270">
        <v>30000</v>
      </c>
      <c r="E270">
        <v>3</v>
      </c>
      <c r="F270" t="s">
        <v>13</v>
      </c>
      <c r="G270" t="s">
        <v>20</v>
      </c>
      <c r="H270" t="s">
        <v>15</v>
      </c>
      <c r="I270">
        <v>0</v>
      </c>
      <c r="J270" t="s">
        <v>16</v>
      </c>
      <c r="K270" t="s">
        <v>17</v>
      </c>
      <c r="L270">
        <v>46</v>
      </c>
      <c r="M270" t="s">
        <v>47</v>
      </c>
      <c r="N270" t="s">
        <v>15</v>
      </c>
    </row>
    <row r="271" spans="1:14" x14ac:dyDescent="0.3">
      <c r="A271">
        <v>21039</v>
      </c>
      <c r="B271" t="s">
        <v>37</v>
      </c>
      <c r="C271" t="s">
        <v>42</v>
      </c>
      <c r="D271">
        <v>50000</v>
      </c>
      <c r="E271">
        <v>0</v>
      </c>
      <c r="F271" t="s">
        <v>31</v>
      </c>
      <c r="G271" t="s">
        <v>14</v>
      </c>
      <c r="H271" t="s">
        <v>18</v>
      </c>
      <c r="I271">
        <v>0</v>
      </c>
      <c r="J271" t="s">
        <v>16</v>
      </c>
      <c r="K271" t="s">
        <v>17</v>
      </c>
      <c r="L271">
        <v>37</v>
      </c>
      <c r="M271" t="s">
        <v>47</v>
      </c>
      <c r="N271" t="s">
        <v>15</v>
      </c>
    </row>
    <row r="272" spans="1:14" x14ac:dyDescent="0.3">
      <c r="A272">
        <v>12231</v>
      </c>
      <c r="B272" t="s">
        <v>37</v>
      </c>
      <c r="C272" t="s">
        <v>42</v>
      </c>
      <c r="D272">
        <v>10000</v>
      </c>
      <c r="E272">
        <v>2</v>
      </c>
      <c r="F272" t="s">
        <v>19</v>
      </c>
      <c r="G272" t="s">
        <v>25</v>
      </c>
      <c r="H272" t="s">
        <v>15</v>
      </c>
      <c r="I272">
        <v>0</v>
      </c>
      <c r="J272" t="s">
        <v>16</v>
      </c>
      <c r="K272" t="s">
        <v>17</v>
      </c>
      <c r="L272">
        <v>51</v>
      </c>
      <c r="M272" t="s">
        <v>47</v>
      </c>
      <c r="N272" t="s">
        <v>15</v>
      </c>
    </row>
    <row r="273" spans="1:14" x14ac:dyDescent="0.3">
      <c r="A273">
        <v>19331</v>
      </c>
      <c r="B273" t="s">
        <v>37</v>
      </c>
      <c r="C273" t="s">
        <v>38</v>
      </c>
      <c r="D273">
        <v>20000</v>
      </c>
      <c r="E273">
        <v>2</v>
      </c>
      <c r="F273" t="s">
        <v>27</v>
      </c>
      <c r="G273" t="s">
        <v>25</v>
      </c>
      <c r="H273" t="s">
        <v>15</v>
      </c>
      <c r="I273">
        <v>1</v>
      </c>
      <c r="J273" t="s">
        <v>16</v>
      </c>
      <c r="K273" t="s">
        <v>17</v>
      </c>
      <c r="L273">
        <v>40</v>
      </c>
      <c r="M273" t="s">
        <v>47</v>
      </c>
      <c r="N273" t="s">
        <v>18</v>
      </c>
    </row>
    <row r="274" spans="1:14" x14ac:dyDescent="0.3">
      <c r="A274">
        <v>24061</v>
      </c>
      <c r="B274" t="s">
        <v>36</v>
      </c>
      <c r="C274" t="s">
        <v>38</v>
      </c>
      <c r="D274">
        <v>10000</v>
      </c>
      <c r="E274">
        <v>4</v>
      </c>
      <c r="F274" t="s">
        <v>29</v>
      </c>
      <c r="G274" t="s">
        <v>25</v>
      </c>
      <c r="H274" t="s">
        <v>15</v>
      </c>
      <c r="I274">
        <v>1</v>
      </c>
      <c r="J274" t="s">
        <v>16</v>
      </c>
      <c r="K274" t="s">
        <v>17</v>
      </c>
      <c r="L274">
        <v>40</v>
      </c>
      <c r="M274" t="s">
        <v>47</v>
      </c>
      <c r="N274" t="s">
        <v>15</v>
      </c>
    </row>
    <row r="275" spans="1:14" x14ac:dyDescent="0.3">
      <c r="A275">
        <v>14791</v>
      </c>
      <c r="B275" t="s">
        <v>36</v>
      </c>
      <c r="C275" t="s">
        <v>42</v>
      </c>
      <c r="D275">
        <v>40000</v>
      </c>
      <c r="E275">
        <v>0</v>
      </c>
      <c r="F275" t="s">
        <v>13</v>
      </c>
      <c r="G275" t="s">
        <v>20</v>
      </c>
      <c r="H275" t="s">
        <v>15</v>
      </c>
      <c r="I275">
        <v>0</v>
      </c>
      <c r="J275" t="s">
        <v>16</v>
      </c>
      <c r="K275" t="s">
        <v>17</v>
      </c>
      <c r="L275">
        <v>39</v>
      </c>
      <c r="M275" t="s">
        <v>47</v>
      </c>
      <c r="N275" t="s">
        <v>15</v>
      </c>
    </row>
    <row r="276" spans="1:14" x14ac:dyDescent="0.3">
      <c r="A276">
        <v>12284</v>
      </c>
      <c r="B276" t="s">
        <v>36</v>
      </c>
      <c r="C276" t="s">
        <v>42</v>
      </c>
      <c r="D276">
        <v>30000</v>
      </c>
      <c r="E276">
        <v>0</v>
      </c>
      <c r="F276" t="s">
        <v>13</v>
      </c>
      <c r="G276" t="s">
        <v>20</v>
      </c>
      <c r="H276" t="s">
        <v>18</v>
      </c>
      <c r="I276">
        <v>0</v>
      </c>
      <c r="J276" t="s">
        <v>16</v>
      </c>
      <c r="K276" t="s">
        <v>17</v>
      </c>
      <c r="L276">
        <v>36</v>
      </c>
      <c r="M276" t="s">
        <v>47</v>
      </c>
      <c r="N276" t="s">
        <v>15</v>
      </c>
    </row>
    <row r="277" spans="1:14" x14ac:dyDescent="0.3">
      <c r="A277">
        <v>26654</v>
      </c>
      <c r="B277" t="s">
        <v>36</v>
      </c>
      <c r="C277" t="s">
        <v>42</v>
      </c>
      <c r="D277">
        <v>90000</v>
      </c>
      <c r="E277">
        <v>1</v>
      </c>
      <c r="F277" t="s">
        <v>31</v>
      </c>
      <c r="G277" t="s">
        <v>28</v>
      </c>
      <c r="H277" t="s">
        <v>15</v>
      </c>
      <c r="I277">
        <v>0</v>
      </c>
      <c r="J277" t="s">
        <v>16</v>
      </c>
      <c r="K277" t="s">
        <v>24</v>
      </c>
      <c r="L277">
        <v>37</v>
      </c>
      <c r="M277" t="s">
        <v>47</v>
      </c>
      <c r="N277" t="s">
        <v>15</v>
      </c>
    </row>
    <row r="278" spans="1:14" x14ac:dyDescent="0.3">
      <c r="A278">
        <v>13089</v>
      </c>
      <c r="B278" t="s">
        <v>36</v>
      </c>
      <c r="C278" t="s">
        <v>42</v>
      </c>
      <c r="D278">
        <v>120000</v>
      </c>
      <c r="E278">
        <v>1</v>
      </c>
      <c r="F278" t="s">
        <v>13</v>
      </c>
      <c r="G278" t="s">
        <v>28</v>
      </c>
      <c r="H278" t="s">
        <v>15</v>
      </c>
      <c r="I278">
        <v>2</v>
      </c>
      <c r="J278" t="s">
        <v>16</v>
      </c>
      <c r="K278" t="s">
        <v>24</v>
      </c>
      <c r="L278">
        <v>46</v>
      </c>
      <c r="M278" t="s">
        <v>47</v>
      </c>
      <c r="N278" t="s">
        <v>15</v>
      </c>
    </row>
    <row r="279" spans="1:14" x14ac:dyDescent="0.3">
      <c r="A279">
        <v>24201</v>
      </c>
      <c r="B279" t="s">
        <v>36</v>
      </c>
      <c r="C279" t="s">
        <v>42</v>
      </c>
      <c r="D279">
        <v>10000</v>
      </c>
      <c r="E279">
        <v>2</v>
      </c>
      <c r="F279" t="s">
        <v>27</v>
      </c>
      <c r="G279" t="s">
        <v>25</v>
      </c>
      <c r="H279" t="s">
        <v>15</v>
      </c>
      <c r="I279">
        <v>0</v>
      </c>
      <c r="J279" t="s">
        <v>16</v>
      </c>
      <c r="K279" t="s">
        <v>17</v>
      </c>
      <c r="L279">
        <v>37</v>
      </c>
      <c r="M279" t="s">
        <v>47</v>
      </c>
      <c r="N279" t="s">
        <v>15</v>
      </c>
    </row>
    <row r="280" spans="1:14" x14ac:dyDescent="0.3">
      <c r="A280">
        <v>12236</v>
      </c>
      <c r="B280" t="s">
        <v>36</v>
      </c>
      <c r="C280" t="s">
        <v>42</v>
      </c>
      <c r="D280">
        <v>20000</v>
      </c>
      <c r="E280">
        <v>1</v>
      </c>
      <c r="F280" t="s">
        <v>19</v>
      </c>
      <c r="G280" t="s">
        <v>25</v>
      </c>
      <c r="H280" t="s">
        <v>15</v>
      </c>
      <c r="I280">
        <v>0</v>
      </c>
      <c r="J280" t="s">
        <v>16</v>
      </c>
      <c r="K280" t="s">
        <v>17</v>
      </c>
      <c r="L280">
        <v>65</v>
      </c>
      <c r="M280" t="s">
        <v>48</v>
      </c>
      <c r="N280" t="s">
        <v>18</v>
      </c>
    </row>
    <row r="281" spans="1:14" x14ac:dyDescent="0.3">
      <c r="A281">
        <v>16390</v>
      </c>
      <c r="B281" t="s">
        <v>37</v>
      </c>
      <c r="C281" t="s">
        <v>38</v>
      </c>
      <c r="D281">
        <v>30000</v>
      </c>
      <c r="E281">
        <v>1</v>
      </c>
      <c r="F281" t="s">
        <v>13</v>
      </c>
      <c r="G281" t="s">
        <v>20</v>
      </c>
      <c r="H281" t="s">
        <v>18</v>
      </c>
      <c r="I281">
        <v>0</v>
      </c>
      <c r="J281" t="s">
        <v>16</v>
      </c>
      <c r="K281" t="s">
        <v>17</v>
      </c>
      <c r="L281">
        <v>38</v>
      </c>
      <c r="M281" t="s">
        <v>47</v>
      </c>
      <c r="N281" t="s">
        <v>15</v>
      </c>
    </row>
    <row r="282" spans="1:14" x14ac:dyDescent="0.3">
      <c r="A282">
        <v>14804</v>
      </c>
      <c r="B282" t="s">
        <v>37</v>
      </c>
      <c r="C282" t="s">
        <v>42</v>
      </c>
      <c r="D282">
        <v>10000</v>
      </c>
      <c r="E282">
        <v>3</v>
      </c>
      <c r="F282" t="s">
        <v>29</v>
      </c>
      <c r="G282" t="s">
        <v>25</v>
      </c>
      <c r="H282" t="s">
        <v>15</v>
      </c>
      <c r="I282">
        <v>2</v>
      </c>
      <c r="J282" t="s">
        <v>16</v>
      </c>
      <c r="K282" t="s">
        <v>17</v>
      </c>
      <c r="L282">
        <v>43</v>
      </c>
      <c r="M282" t="s">
        <v>47</v>
      </c>
      <c r="N282" t="s">
        <v>18</v>
      </c>
    </row>
    <row r="283" spans="1:14" x14ac:dyDescent="0.3">
      <c r="A283">
        <v>12629</v>
      </c>
      <c r="B283" t="s">
        <v>37</v>
      </c>
      <c r="C283" t="s">
        <v>38</v>
      </c>
      <c r="D283">
        <v>20000</v>
      </c>
      <c r="E283">
        <v>1</v>
      </c>
      <c r="F283" t="s">
        <v>19</v>
      </c>
      <c r="G283" t="s">
        <v>25</v>
      </c>
      <c r="H283" t="s">
        <v>18</v>
      </c>
      <c r="I283">
        <v>0</v>
      </c>
      <c r="J283" t="s">
        <v>16</v>
      </c>
      <c r="K283" t="s">
        <v>17</v>
      </c>
      <c r="L283">
        <v>37</v>
      </c>
      <c r="M283" t="s">
        <v>47</v>
      </c>
      <c r="N283" t="s">
        <v>18</v>
      </c>
    </row>
    <row r="284" spans="1:14" x14ac:dyDescent="0.3">
      <c r="A284">
        <v>14696</v>
      </c>
      <c r="B284" t="s">
        <v>37</v>
      </c>
      <c r="C284" t="s">
        <v>38</v>
      </c>
      <c r="D284">
        <v>10000</v>
      </c>
      <c r="E284">
        <v>0</v>
      </c>
      <c r="F284" t="s">
        <v>29</v>
      </c>
      <c r="G284" t="s">
        <v>25</v>
      </c>
      <c r="H284" t="s">
        <v>18</v>
      </c>
      <c r="I284">
        <v>2</v>
      </c>
      <c r="J284" t="s">
        <v>16</v>
      </c>
      <c r="K284" t="s">
        <v>17</v>
      </c>
      <c r="L284">
        <v>34</v>
      </c>
      <c r="M284" t="s">
        <v>47</v>
      </c>
      <c r="N284" t="s">
        <v>18</v>
      </c>
    </row>
    <row r="285" spans="1:14" x14ac:dyDescent="0.3">
      <c r="A285">
        <v>20277</v>
      </c>
      <c r="B285" t="s">
        <v>36</v>
      </c>
      <c r="C285" t="s">
        <v>42</v>
      </c>
      <c r="D285">
        <v>30000</v>
      </c>
      <c r="E285">
        <v>2</v>
      </c>
      <c r="F285" t="s">
        <v>19</v>
      </c>
      <c r="G285" t="s">
        <v>20</v>
      </c>
      <c r="H285" t="s">
        <v>18</v>
      </c>
      <c r="I285">
        <v>2</v>
      </c>
      <c r="J285" t="s">
        <v>16</v>
      </c>
      <c r="K285" t="s">
        <v>24</v>
      </c>
      <c r="L285">
        <v>69</v>
      </c>
      <c r="M285" t="s">
        <v>48</v>
      </c>
      <c r="N285" t="s">
        <v>18</v>
      </c>
    </row>
    <row r="286" spans="1:14" x14ac:dyDescent="0.3">
      <c r="A286">
        <v>14544</v>
      </c>
      <c r="B286" t="s">
        <v>37</v>
      </c>
      <c r="C286" t="s">
        <v>38</v>
      </c>
      <c r="D286">
        <v>10000</v>
      </c>
      <c r="E286">
        <v>1</v>
      </c>
      <c r="F286" t="s">
        <v>19</v>
      </c>
      <c r="G286" t="s">
        <v>25</v>
      </c>
      <c r="H286" t="s">
        <v>15</v>
      </c>
      <c r="I286">
        <v>0</v>
      </c>
      <c r="J286" t="s">
        <v>16</v>
      </c>
      <c r="K286" t="s">
        <v>17</v>
      </c>
      <c r="L286">
        <v>49</v>
      </c>
      <c r="M286" t="s">
        <v>47</v>
      </c>
      <c r="N286" t="s">
        <v>18</v>
      </c>
    </row>
    <row r="287" spans="1:14" x14ac:dyDescent="0.3">
      <c r="A287">
        <v>11585</v>
      </c>
      <c r="B287" t="s">
        <v>36</v>
      </c>
      <c r="C287" t="s">
        <v>42</v>
      </c>
      <c r="D287">
        <v>40000</v>
      </c>
      <c r="E287">
        <v>1</v>
      </c>
      <c r="F287" t="s">
        <v>13</v>
      </c>
      <c r="G287" t="s">
        <v>14</v>
      </c>
      <c r="H287" t="s">
        <v>15</v>
      </c>
      <c r="I287">
        <v>0</v>
      </c>
      <c r="J287" t="s">
        <v>16</v>
      </c>
      <c r="K287" t="s">
        <v>17</v>
      </c>
      <c r="L287">
        <v>41</v>
      </c>
      <c r="M287" t="s">
        <v>47</v>
      </c>
      <c r="N287" t="s">
        <v>18</v>
      </c>
    </row>
    <row r="288" spans="1:14" x14ac:dyDescent="0.3">
      <c r="A288">
        <v>16559</v>
      </c>
      <c r="B288" t="s">
        <v>37</v>
      </c>
      <c r="C288" t="s">
        <v>42</v>
      </c>
      <c r="D288">
        <v>10000</v>
      </c>
      <c r="E288">
        <v>2</v>
      </c>
      <c r="F288" t="s">
        <v>27</v>
      </c>
      <c r="G288" t="s">
        <v>25</v>
      </c>
      <c r="H288" t="s">
        <v>15</v>
      </c>
      <c r="I288">
        <v>0</v>
      </c>
      <c r="J288" t="s">
        <v>16</v>
      </c>
      <c r="K288" t="s">
        <v>17</v>
      </c>
      <c r="L288">
        <v>36</v>
      </c>
      <c r="M288" t="s">
        <v>47</v>
      </c>
      <c r="N288" t="s">
        <v>15</v>
      </c>
    </row>
    <row r="289" spans="1:14" x14ac:dyDescent="0.3">
      <c r="A289">
        <v>24187</v>
      </c>
      <c r="B289" t="s">
        <v>37</v>
      </c>
      <c r="C289" t="s">
        <v>42</v>
      </c>
      <c r="D289">
        <v>30000</v>
      </c>
      <c r="E289">
        <v>3</v>
      </c>
      <c r="F289" t="s">
        <v>31</v>
      </c>
      <c r="G289" t="s">
        <v>20</v>
      </c>
      <c r="H289" t="s">
        <v>18</v>
      </c>
      <c r="I289">
        <v>0</v>
      </c>
      <c r="J289" t="s">
        <v>16</v>
      </c>
      <c r="K289" t="s">
        <v>17</v>
      </c>
      <c r="L289">
        <v>46</v>
      </c>
      <c r="M289" t="s">
        <v>47</v>
      </c>
      <c r="N289" t="s">
        <v>15</v>
      </c>
    </row>
    <row r="290" spans="1:14" x14ac:dyDescent="0.3">
      <c r="A290">
        <v>12497</v>
      </c>
      <c r="B290" t="s">
        <v>36</v>
      </c>
      <c r="C290" t="s">
        <v>42</v>
      </c>
      <c r="D290">
        <v>40000</v>
      </c>
      <c r="E290">
        <v>1</v>
      </c>
      <c r="F290" t="s">
        <v>13</v>
      </c>
      <c r="G290" t="s">
        <v>14</v>
      </c>
      <c r="H290" t="s">
        <v>15</v>
      </c>
      <c r="I290">
        <v>0</v>
      </c>
      <c r="J290" t="s">
        <v>16</v>
      </c>
      <c r="K290" t="s">
        <v>17</v>
      </c>
      <c r="L290">
        <v>42</v>
      </c>
      <c r="M290" t="s">
        <v>47</v>
      </c>
      <c r="N290" t="s">
        <v>18</v>
      </c>
    </row>
    <row r="291" spans="1:14" x14ac:dyDescent="0.3">
      <c r="A291">
        <v>11383</v>
      </c>
      <c r="B291" t="s">
        <v>36</v>
      </c>
      <c r="C291" t="s">
        <v>42</v>
      </c>
      <c r="D291">
        <v>30000</v>
      </c>
      <c r="E291">
        <v>3</v>
      </c>
      <c r="F291" t="s">
        <v>31</v>
      </c>
      <c r="G291" t="s">
        <v>20</v>
      </c>
      <c r="H291" t="s">
        <v>15</v>
      </c>
      <c r="I291">
        <v>0</v>
      </c>
      <c r="J291" t="s">
        <v>16</v>
      </c>
      <c r="K291" t="s">
        <v>17</v>
      </c>
      <c r="L291">
        <v>46</v>
      </c>
      <c r="M291" t="s">
        <v>47</v>
      </c>
      <c r="N291" t="s">
        <v>18</v>
      </c>
    </row>
    <row r="292" spans="1:14" x14ac:dyDescent="0.3">
      <c r="A292">
        <v>28319</v>
      </c>
      <c r="B292" t="s">
        <v>37</v>
      </c>
      <c r="C292" t="s">
        <v>42</v>
      </c>
      <c r="D292">
        <v>60000</v>
      </c>
      <c r="E292">
        <v>1</v>
      </c>
      <c r="F292" t="s">
        <v>19</v>
      </c>
      <c r="G292" t="s">
        <v>14</v>
      </c>
      <c r="H292" t="s">
        <v>18</v>
      </c>
      <c r="I292">
        <v>1</v>
      </c>
      <c r="J292" t="s">
        <v>16</v>
      </c>
      <c r="K292" t="s">
        <v>24</v>
      </c>
      <c r="L292">
        <v>46</v>
      </c>
      <c r="M292" t="s">
        <v>47</v>
      </c>
      <c r="N292" t="s">
        <v>15</v>
      </c>
    </row>
    <row r="293" spans="1:14" x14ac:dyDescent="0.3">
      <c r="A293">
        <v>16406</v>
      </c>
      <c r="B293" t="s">
        <v>36</v>
      </c>
      <c r="C293" t="s">
        <v>38</v>
      </c>
      <c r="D293">
        <v>40000</v>
      </c>
      <c r="E293">
        <v>0</v>
      </c>
      <c r="F293" t="s">
        <v>13</v>
      </c>
      <c r="G293" t="s">
        <v>20</v>
      </c>
      <c r="H293" t="s">
        <v>18</v>
      </c>
      <c r="I293">
        <v>0</v>
      </c>
      <c r="J293" t="s">
        <v>16</v>
      </c>
      <c r="K293" t="s">
        <v>17</v>
      </c>
      <c r="L293">
        <v>38</v>
      </c>
      <c r="M293" t="s">
        <v>47</v>
      </c>
      <c r="N293" t="s">
        <v>15</v>
      </c>
    </row>
    <row r="294" spans="1:14" x14ac:dyDescent="0.3">
      <c r="A294">
        <v>20923</v>
      </c>
      <c r="B294" t="s">
        <v>36</v>
      </c>
      <c r="C294" t="s">
        <v>42</v>
      </c>
      <c r="D294">
        <v>40000</v>
      </c>
      <c r="E294">
        <v>1</v>
      </c>
      <c r="F294" t="s">
        <v>13</v>
      </c>
      <c r="G294" t="s">
        <v>14</v>
      </c>
      <c r="H294" t="s">
        <v>15</v>
      </c>
      <c r="I294">
        <v>0</v>
      </c>
      <c r="J294" t="s">
        <v>16</v>
      </c>
      <c r="K294" t="s">
        <v>17</v>
      </c>
      <c r="L294">
        <v>42</v>
      </c>
      <c r="M294" t="s">
        <v>47</v>
      </c>
      <c r="N294" t="s">
        <v>15</v>
      </c>
    </row>
    <row r="295" spans="1:14" x14ac:dyDescent="0.3">
      <c r="A295">
        <v>21108</v>
      </c>
      <c r="B295" t="s">
        <v>36</v>
      </c>
      <c r="C295" t="s">
        <v>42</v>
      </c>
      <c r="D295">
        <v>40000</v>
      </c>
      <c r="E295">
        <v>1</v>
      </c>
      <c r="F295" t="s">
        <v>13</v>
      </c>
      <c r="G295" t="s">
        <v>14</v>
      </c>
      <c r="H295" t="s">
        <v>15</v>
      </c>
      <c r="I295">
        <v>1</v>
      </c>
      <c r="J295" t="s">
        <v>16</v>
      </c>
      <c r="K295" t="s">
        <v>17</v>
      </c>
      <c r="L295">
        <v>43</v>
      </c>
      <c r="M295" t="s">
        <v>47</v>
      </c>
      <c r="N295" t="s">
        <v>15</v>
      </c>
    </row>
    <row r="296" spans="1:14" x14ac:dyDescent="0.3">
      <c r="A296">
        <v>26651</v>
      </c>
      <c r="B296" t="s">
        <v>37</v>
      </c>
      <c r="C296" t="s">
        <v>38</v>
      </c>
      <c r="D296">
        <v>80000</v>
      </c>
      <c r="E296">
        <v>4</v>
      </c>
      <c r="F296" t="s">
        <v>31</v>
      </c>
      <c r="G296" t="s">
        <v>28</v>
      </c>
      <c r="H296" t="s">
        <v>15</v>
      </c>
      <c r="I296">
        <v>0</v>
      </c>
      <c r="J296" t="s">
        <v>16</v>
      </c>
      <c r="K296" t="s">
        <v>24</v>
      </c>
      <c r="L296">
        <v>36</v>
      </c>
      <c r="M296" t="s">
        <v>47</v>
      </c>
      <c r="N296" t="s">
        <v>15</v>
      </c>
    </row>
    <row r="297" spans="1:14" x14ac:dyDescent="0.3">
      <c r="A297">
        <v>19618</v>
      </c>
      <c r="B297" t="s">
        <v>36</v>
      </c>
      <c r="C297" t="s">
        <v>38</v>
      </c>
      <c r="D297">
        <v>70000</v>
      </c>
      <c r="E297">
        <v>5</v>
      </c>
      <c r="F297" t="s">
        <v>19</v>
      </c>
      <c r="G297" t="s">
        <v>14</v>
      </c>
      <c r="H297" t="s">
        <v>15</v>
      </c>
      <c r="I297">
        <v>2</v>
      </c>
      <c r="J297" t="s">
        <v>16</v>
      </c>
      <c r="K297" t="s">
        <v>24</v>
      </c>
      <c r="L297">
        <v>44</v>
      </c>
      <c r="M297" t="s">
        <v>47</v>
      </c>
      <c r="N297" t="s">
        <v>18</v>
      </c>
    </row>
    <row r="298" spans="1:14" x14ac:dyDescent="0.3">
      <c r="A298">
        <v>26663</v>
      </c>
      <c r="B298" t="s">
        <v>37</v>
      </c>
      <c r="C298" t="s">
        <v>42</v>
      </c>
      <c r="D298">
        <v>60000</v>
      </c>
      <c r="E298">
        <v>2</v>
      </c>
      <c r="F298" t="s">
        <v>13</v>
      </c>
      <c r="G298" t="s">
        <v>21</v>
      </c>
      <c r="H298" t="s">
        <v>18</v>
      </c>
      <c r="I298">
        <v>1</v>
      </c>
      <c r="J298" t="s">
        <v>16</v>
      </c>
      <c r="K298" t="s">
        <v>24</v>
      </c>
      <c r="L298">
        <v>39</v>
      </c>
      <c r="M298" t="s">
        <v>47</v>
      </c>
      <c r="N298" t="s">
        <v>15</v>
      </c>
    </row>
    <row r="299" spans="1:14" x14ac:dyDescent="0.3">
      <c r="A299">
        <v>24093</v>
      </c>
      <c r="B299" t="s">
        <v>37</v>
      </c>
      <c r="C299" t="s">
        <v>42</v>
      </c>
      <c r="D299">
        <v>80000</v>
      </c>
      <c r="E299">
        <v>0</v>
      </c>
      <c r="F299" t="s">
        <v>31</v>
      </c>
      <c r="G299" t="s">
        <v>14</v>
      </c>
      <c r="H299" t="s">
        <v>18</v>
      </c>
      <c r="I299">
        <v>0</v>
      </c>
      <c r="J299" t="s">
        <v>16</v>
      </c>
      <c r="K299" t="s">
        <v>17</v>
      </c>
      <c r="L299">
        <v>40</v>
      </c>
      <c r="M299" t="s">
        <v>47</v>
      </c>
      <c r="N299" t="s">
        <v>15</v>
      </c>
    </row>
    <row r="300" spans="1:14" x14ac:dyDescent="0.3">
      <c r="A300">
        <v>27824</v>
      </c>
      <c r="B300" t="s">
        <v>37</v>
      </c>
      <c r="C300" t="s">
        <v>42</v>
      </c>
      <c r="D300">
        <v>30000</v>
      </c>
      <c r="E300">
        <v>3</v>
      </c>
      <c r="F300" t="s">
        <v>19</v>
      </c>
      <c r="G300" t="s">
        <v>20</v>
      </c>
      <c r="H300" t="s">
        <v>15</v>
      </c>
      <c r="I300">
        <v>2</v>
      </c>
      <c r="J300" t="s">
        <v>16</v>
      </c>
      <c r="K300" t="s">
        <v>17</v>
      </c>
      <c r="L300">
        <v>28</v>
      </c>
      <c r="M300" t="s">
        <v>49</v>
      </c>
      <c r="N300" t="s">
        <v>15</v>
      </c>
    </row>
    <row r="301" spans="1:14" x14ac:dyDescent="0.3">
      <c r="A301">
        <v>27814</v>
      </c>
      <c r="B301" t="s">
        <v>37</v>
      </c>
      <c r="C301" t="s">
        <v>42</v>
      </c>
      <c r="D301">
        <v>30000</v>
      </c>
      <c r="E301">
        <v>3</v>
      </c>
      <c r="F301" t="s">
        <v>19</v>
      </c>
      <c r="G301" t="s">
        <v>20</v>
      </c>
      <c r="H301" t="s">
        <v>18</v>
      </c>
      <c r="I301">
        <v>1</v>
      </c>
      <c r="J301" t="s">
        <v>16</v>
      </c>
      <c r="K301" t="s">
        <v>17</v>
      </c>
      <c r="L301">
        <v>26</v>
      </c>
      <c r="M301" t="s">
        <v>49</v>
      </c>
      <c r="N301" t="s">
        <v>18</v>
      </c>
    </row>
    <row r="302" spans="1:14" x14ac:dyDescent="0.3">
      <c r="A302">
        <v>28488</v>
      </c>
      <c r="B302" t="s">
        <v>37</v>
      </c>
      <c r="C302" t="s">
        <v>38</v>
      </c>
      <c r="D302">
        <v>20000</v>
      </c>
      <c r="E302">
        <v>0</v>
      </c>
      <c r="F302" t="s">
        <v>19</v>
      </c>
      <c r="G302" t="s">
        <v>25</v>
      </c>
      <c r="H302" t="s">
        <v>15</v>
      </c>
      <c r="I302">
        <v>0</v>
      </c>
      <c r="J302" t="s">
        <v>16</v>
      </c>
      <c r="K302" t="s">
        <v>24</v>
      </c>
      <c r="L302">
        <v>28</v>
      </c>
      <c r="M302" t="s">
        <v>49</v>
      </c>
      <c r="N302" t="s">
        <v>15</v>
      </c>
    </row>
    <row r="303" spans="1:14" x14ac:dyDescent="0.3">
      <c r="A303">
        <v>17926</v>
      </c>
      <c r="B303" t="s">
        <v>37</v>
      </c>
      <c r="C303" t="s">
        <v>42</v>
      </c>
      <c r="D303">
        <v>40000</v>
      </c>
      <c r="E303">
        <v>0</v>
      </c>
      <c r="F303" t="s">
        <v>13</v>
      </c>
      <c r="G303" t="s">
        <v>20</v>
      </c>
      <c r="H303" t="s">
        <v>18</v>
      </c>
      <c r="I303">
        <v>0</v>
      </c>
      <c r="J303" t="s">
        <v>16</v>
      </c>
      <c r="K303" t="s">
        <v>24</v>
      </c>
      <c r="L303">
        <v>28</v>
      </c>
      <c r="M303" t="s">
        <v>49</v>
      </c>
      <c r="N303" t="s">
        <v>15</v>
      </c>
    </row>
    <row r="304" spans="1:14" x14ac:dyDescent="0.3">
      <c r="A304">
        <v>26928</v>
      </c>
      <c r="B304" t="s">
        <v>37</v>
      </c>
      <c r="C304" t="s">
        <v>38</v>
      </c>
      <c r="D304">
        <v>30000</v>
      </c>
      <c r="E304">
        <v>1</v>
      </c>
      <c r="F304" t="s">
        <v>13</v>
      </c>
      <c r="G304" t="s">
        <v>20</v>
      </c>
      <c r="H304" t="s">
        <v>15</v>
      </c>
      <c r="I304">
        <v>0</v>
      </c>
      <c r="J304" t="s">
        <v>16</v>
      </c>
      <c r="K304" t="s">
        <v>17</v>
      </c>
      <c r="L304">
        <v>62</v>
      </c>
      <c r="M304" t="s">
        <v>48</v>
      </c>
      <c r="N304" t="s">
        <v>15</v>
      </c>
    </row>
    <row r="305" spans="1:14" x14ac:dyDescent="0.3">
      <c r="A305">
        <v>20897</v>
      </c>
      <c r="B305" t="s">
        <v>36</v>
      </c>
      <c r="C305" t="s">
        <v>42</v>
      </c>
      <c r="D305">
        <v>30000</v>
      </c>
      <c r="E305">
        <v>1</v>
      </c>
      <c r="F305" t="s">
        <v>13</v>
      </c>
      <c r="G305" t="s">
        <v>14</v>
      </c>
      <c r="H305" t="s">
        <v>15</v>
      </c>
      <c r="I305">
        <v>2</v>
      </c>
      <c r="J305" t="s">
        <v>16</v>
      </c>
      <c r="K305" t="s">
        <v>17</v>
      </c>
      <c r="L305">
        <v>40</v>
      </c>
      <c r="M305" t="s">
        <v>47</v>
      </c>
      <c r="N305" t="s">
        <v>18</v>
      </c>
    </row>
    <row r="306" spans="1:14" x14ac:dyDescent="0.3">
      <c r="A306">
        <v>28207</v>
      </c>
      <c r="B306" t="s">
        <v>36</v>
      </c>
      <c r="C306" t="s">
        <v>38</v>
      </c>
      <c r="D306">
        <v>80000</v>
      </c>
      <c r="E306">
        <v>4</v>
      </c>
      <c r="F306" t="s">
        <v>31</v>
      </c>
      <c r="G306" t="s">
        <v>28</v>
      </c>
      <c r="H306" t="s">
        <v>15</v>
      </c>
      <c r="I306">
        <v>1</v>
      </c>
      <c r="J306" t="s">
        <v>16</v>
      </c>
      <c r="K306" t="s">
        <v>24</v>
      </c>
      <c r="L306">
        <v>36</v>
      </c>
      <c r="M306" t="s">
        <v>47</v>
      </c>
      <c r="N306" t="s">
        <v>15</v>
      </c>
    </row>
    <row r="307" spans="1:14" x14ac:dyDescent="0.3">
      <c r="A307">
        <v>17048</v>
      </c>
      <c r="B307" t="s">
        <v>37</v>
      </c>
      <c r="C307" t="s">
        <v>42</v>
      </c>
      <c r="D307">
        <v>90000</v>
      </c>
      <c r="E307">
        <v>1</v>
      </c>
      <c r="F307" t="s">
        <v>31</v>
      </c>
      <c r="G307" t="s">
        <v>28</v>
      </c>
      <c r="H307" t="s">
        <v>15</v>
      </c>
      <c r="I307">
        <v>0</v>
      </c>
      <c r="J307" t="s">
        <v>16</v>
      </c>
      <c r="K307" t="s">
        <v>24</v>
      </c>
      <c r="L307">
        <v>36</v>
      </c>
      <c r="M307" t="s">
        <v>47</v>
      </c>
      <c r="N307" t="s">
        <v>15</v>
      </c>
    </row>
    <row r="308" spans="1:14" x14ac:dyDescent="0.3">
      <c r="A308">
        <v>15822</v>
      </c>
      <c r="B308" t="s">
        <v>36</v>
      </c>
      <c r="C308" t="s">
        <v>38</v>
      </c>
      <c r="D308">
        <v>40000</v>
      </c>
      <c r="E308">
        <v>2</v>
      </c>
      <c r="F308" t="s">
        <v>13</v>
      </c>
      <c r="G308" t="s">
        <v>28</v>
      </c>
      <c r="H308" t="s">
        <v>15</v>
      </c>
      <c r="I308">
        <v>2</v>
      </c>
      <c r="J308" t="s">
        <v>16</v>
      </c>
      <c r="K308" t="s">
        <v>24</v>
      </c>
      <c r="L308">
        <v>67</v>
      </c>
      <c r="M308" t="s">
        <v>48</v>
      </c>
      <c r="N308" t="s">
        <v>18</v>
      </c>
    </row>
    <row r="309" spans="1:14" x14ac:dyDescent="0.3">
      <c r="A309">
        <v>20974</v>
      </c>
      <c r="B309" t="s">
        <v>36</v>
      </c>
      <c r="C309" t="s">
        <v>38</v>
      </c>
      <c r="D309">
        <v>10000</v>
      </c>
      <c r="E309">
        <v>2</v>
      </c>
      <c r="F309" t="s">
        <v>13</v>
      </c>
      <c r="G309" t="s">
        <v>20</v>
      </c>
      <c r="H309" t="s">
        <v>15</v>
      </c>
      <c r="I309">
        <v>1</v>
      </c>
      <c r="J309" t="s">
        <v>16</v>
      </c>
      <c r="K309" t="s">
        <v>17</v>
      </c>
      <c r="L309">
        <v>66</v>
      </c>
      <c r="M309" t="s">
        <v>48</v>
      </c>
      <c r="N309" t="s">
        <v>18</v>
      </c>
    </row>
    <row r="310" spans="1:14" x14ac:dyDescent="0.3">
      <c r="A310">
        <v>14805</v>
      </c>
      <c r="B310" t="s">
        <v>37</v>
      </c>
      <c r="C310" t="s">
        <v>42</v>
      </c>
      <c r="D310">
        <v>10000</v>
      </c>
      <c r="E310">
        <v>3</v>
      </c>
      <c r="F310" t="s">
        <v>29</v>
      </c>
      <c r="G310" t="s">
        <v>25</v>
      </c>
      <c r="H310" t="s">
        <v>15</v>
      </c>
      <c r="I310">
        <v>2</v>
      </c>
      <c r="J310" t="s">
        <v>16</v>
      </c>
      <c r="K310" t="s">
        <v>17</v>
      </c>
      <c r="L310">
        <v>43</v>
      </c>
      <c r="M310" t="s">
        <v>47</v>
      </c>
      <c r="N310" t="s">
        <v>18</v>
      </c>
    </row>
    <row r="311" spans="1:14" x14ac:dyDescent="0.3">
      <c r="A311">
        <v>19255</v>
      </c>
      <c r="B311" t="s">
        <v>37</v>
      </c>
      <c r="C311" t="s">
        <v>38</v>
      </c>
      <c r="D311">
        <v>10000</v>
      </c>
      <c r="E311">
        <v>2</v>
      </c>
      <c r="F311" t="s">
        <v>19</v>
      </c>
      <c r="G311" t="s">
        <v>25</v>
      </c>
      <c r="H311" t="s">
        <v>15</v>
      </c>
      <c r="I311">
        <v>1</v>
      </c>
      <c r="J311" t="s">
        <v>16</v>
      </c>
      <c r="K311" t="s">
        <v>17</v>
      </c>
      <c r="L311">
        <v>51</v>
      </c>
      <c r="M311" t="s">
        <v>47</v>
      </c>
      <c r="N311" t="s">
        <v>15</v>
      </c>
    </row>
    <row r="312" spans="1:14" x14ac:dyDescent="0.3">
      <c r="A312">
        <v>11576</v>
      </c>
      <c r="B312" t="s">
        <v>36</v>
      </c>
      <c r="C312" t="s">
        <v>38</v>
      </c>
      <c r="D312">
        <v>30000</v>
      </c>
      <c r="E312">
        <v>1</v>
      </c>
      <c r="F312" t="s">
        <v>13</v>
      </c>
      <c r="G312" t="s">
        <v>14</v>
      </c>
      <c r="H312" t="s">
        <v>15</v>
      </c>
      <c r="I312">
        <v>2</v>
      </c>
      <c r="J312" t="s">
        <v>16</v>
      </c>
      <c r="K312" t="s">
        <v>17</v>
      </c>
      <c r="L312">
        <v>41</v>
      </c>
      <c r="M312" t="s">
        <v>47</v>
      </c>
      <c r="N312" t="s">
        <v>15</v>
      </c>
    </row>
    <row r="313" spans="1:14" x14ac:dyDescent="0.3">
      <c r="A313">
        <v>11897</v>
      </c>
      <c r="B313" t="s">
        <v>37</v>
      </c>
      <c r="C313" t="s">
        <v>38</v>
      </c>
      <c r="D313">
        <v>60000</v>
      </c>
      <c r="E313">
        <v>2</v>
      </c>
      <c r="F313" t="s">
        <v>13</v>
      </c>
      <c r="G313" t="s">
        <v>21</v>
      </c>
      <c r="H313" t="s">
        <v>18</v>
      </c>
      <c r="I313">
        <v>1</v>
      </c>
      <c r="J313" t="s">
        <v>16</v>
      </c>
      <c r="K313" t="s">
        <v>24</v>
      </c>
      <c r="L313">
        <v>37</v>
      </c>
      <c r="M313" t="s">
        <v>47</v>
      </c>
      <c r="N313" t="s">
        <v>15</v>
      </c>
    </row>
    <row r="314" spans="1:14" x14ac:dyDescent="0.3">
      <c r="A314">
        <v>13961</v>
      </c>
      <c r="B314" t="s">
        <v>36</v>
      </c>
      <c r="C314" t="s">
        <v>42</v>
      </c>
      <c r="D314">
        <v>80000</v>
      </c>
      <c r="E314">
        <v>5</v>
      </c>
      <c r="F314" t="s">
        <v>31</v>
      </c>
      <c r="G314" t="s">
        <v>28</v>
      </c>
      <c r="H314" t="s">
        <v>15</v>
      </c>
      <c r="I314">
        <v>3</v>
      </c>
      <c r="J314" t="s">
        <v>16</v>
      </c>
      <c r="K314" t="s">
        <v>24</v>
      </c>
      <c r="L314">
        <v>40</v>
      </c>
      <c r="M314" t="s">
        <v>47</v>
      </c>
      <c r="N314" t="s">
        <v>18</v>
      </c>
    </row>
    <row r="315" spans="1:14" x14ac:dyDescent="0.3">
      <c r="A315">
        <v>17960</v>
      </c>
      <c r="B315" t="s">
        <v>36</v>
      </c>
      <c r="C315" t="s">
        <v>42</v>
      </c>
      <c r="D315">
        <v>40000</v>
      </c>
      <c r="E315">
        <v>0</v>
      </c>
      <c r="F315" t="s">
        <v>31</v>
      </c>
      <c r="G315" t="s">
        <v>20</v>
      </c>
      <c r="H315" t="s">
        <v>15</v>
      </c>
      <c r="I315">
        <v>0</v>
      </c>
      <c r="J315" t="s">
        <v>16</v>
      </c>
      <c r="K315" t="s">
        <v>17</v>
      </c>
      <c r="L315">
        <v>35</v>
      </c>
      <c r="M315" t="s">
        <v>47</v>
      </c>
      <c r="N315" t="s">
        <v>15</v>
      </c>
    </row>
    <row r="316" spans="1:14" x14ac:dyDescent="0.3">
      <c r="A316">
        <v>18740</v>
      </c>
      <c r="B316" t="s">
        <v>36</v>
      </c>
      <c r="C316" t="s">
        <v>38</v>
      </c>
      <c r="D316">
        <v>80000</v>
      </c>
      <c r="E316">
        <v>5</v>
      </c>
      <c r="F316" t="s">
        <v>13</v>
      </c>
      <c r="G316" t="s">
        <v>21</v>
      </c>
      <c r="H316" t="s">
        <v>18</v>
      </c>
      <c r="I316">
        <v>1</v>
      </c>
      <c r="J316" t="s">
        <v>16</v>
      </c>
      <c r="K316" t="s">
        <v>24</v>
      </c>
      <c r="L316">
        <v>47</v>
      </c>
      <c r="M316" t="s">
        <v>47</v>
      </c>
      <c r="N316" t="s">
        <v>15</v>
      </c>
    </row>
    <row r="317" spans="1:14" x14ac:dyDescent="0.3">
      <c r="A317">
        <v>20053</v>
      </c>
      <c r="B317" t="s">
        <v>37</v>
      </c>
      <c r="C317" t="s">
        <v>38</v>
      </c>
      <c r="D317">
        <v>40000</v>
      </c>
      <c r="E317">
        <v>2</v>
      </c>
      <c r="F317" t="s">
        <v>19</v>
      </c>
      <c r="G317" t="s">
        <v>20</v>
      </c>
      <c r="H317" t="s">
        <v>15</v>
      </c>
      <c r="I317">
        <v>0</v>
      </c>
      <c r="J317" t="s">
        <v>16</v>
      </c>
      <c r="K317" t="s">
        <v>17</v>
      </c>
      <c r="L317">
        <v>34</v>
      </c>
      <c r="M317" t="s">
        <v>47</v>
      </c>
      <c r="N317" t="s">
        <v>18</v>
      </c>
    </row>
    <row r="318" spans="1:14" x14ac:dyDescent="0.3">
      <c r="A318">
        <v>20171</v>
      </c>
      <c r="B318" t="s">
        <v>36</v>
      </c>
      <c r="C318" t="s">
        <v>42</v>
      </c>
      <c r="D318">
        <v>20000</v>
      </c>
      <c r="E318">
        <v>2</v>
      </c>
      <c r="F318" t="s">
        <v>19</v>
      </c>
      <c r="G318" t="s">
        <v>25</v>
      </c>
      <c r="H318" t="s">
        <v>15</v>
      </c>
      <c r="I318">
        <v>1</v>
      </c>
      <c r="J318" t="s">
        <v>16</v>
      </c>
      <c r="K318" t="s">
        <v>17</v>
      </c>
      <c r="L318">
        <v>46</v>
      </c>
      <c r="M318" t="s">
        <v>47</v>
      </c>
      <c r="N318" t="s">
        <v>15</v>
      </c>
    </row>
    <row r="319" spans="1:14" x14ac:dyDescent="0.3">
      <c r="A319">
        <v>14154</v>
      </c>
      <c r="B319" t="s">
        <v>36</v>
      </c>
      <c r="C319" t="s">
        <v>38</v>
      </c>
      <c r="D319">
        <v>30000</v>
      </c>
      <c r="E319">
        <v>0</v>
      </c>
      <c r="F319" t="s">
        <v>13</v>
      </c>
      <c r="G319" t="s">
        <v>20</v>
      </c>
      <c r="H319" t="s">
        <v>15</v>
      </c>
      <c r="I319">
        <v>0</v>
      </c>
      <c r="J319" t="s">
        <v>16</v>
      </c>
      <c r="K319" t="s">
        <v>17</v>
      </c>
      <c r="L319">
        <v>35</v>
      </c>
      <c r="M319" t="s">
        <v>47</v>
      </c>
      <c r="N319" t="s">
        <v>15</v>
      </c>
    </row>
    <row r="320" spans="1:14" x14ac:dyDescent="0.3">
      <c r="A320">
        <v>22821</v>
      </c>
      <c r="B320" t="s">
        <v>36</v>
      </c>
      <c r="C320" t="s">
        <v>42</v>
      </c>
      <c r="D320">
        <v>130000</v>
      </c>
      <c r="E320">
        <v>3</v>
      </c>
      <c r="F320" t="s">
        <v>19</v>
      </c>
      <c r="G320" t="s">
        <v>21</v>
      </c>
      <c r="H320" t="s">
        <v>15</v>
      </c>
      <c r="I320">
        <v>4</v>
      </c>
      <c r="J320" t="s">
        <v>16</v>
      </c>
      <c r="K320" t="s">
        <v>17</v>
      </c>
      <c r="L320">
        <v>52</v>
      </c>
      <c r="M320" t="s">
        <v>47</v>
      </c>
      <c r="N320" t="s">
        <v>18</v>
      </c>
    </row>
    <row r="321" spans="1:14" x14ac:dyDescent="0.3">
      <c r="A321">
        <v>11386</v>
      </c>
      <c r="B321" t="s">
        <v>36</v>
      </c>
      <c r="C321" t="s">
        <v>42</v>
      </c>
      <c r="D321">
        <v>30000</v>
      </c>
      <c r="E321">
        <v>3</v>
      </c>
      <c r="F321" t="s">
        <v>13</v>
      </c>
      <c r="G321" t="s">
        <v>20</v>
      </c>
      <c r="H321" t="s">
        <v>15</v>
      </c>
      <c r="I321">
        <v>0</v>
      </c>
      <c r="J321" t="s">
        <v>16</v>
      </c>
      <c r="K321" t="s">
        <v>17</v>
      </c>
      <c r="L321">
        <v>45</v>
      </c>
      <c r="M321" t="s">
        <v>47</v>
      </c>
      <c r="N321" t="s">
        <v>18</v>
      </c>
    </row>
    <row r="322" spans="1:14" x14ac:dyDescent="0.3">
      <c r="A322">
        <v>12744</v>
      </c>
      <c r="B322" t="s">
        <v>37</v>
      </c>
      <c r="C322" t="s">
        <v>42</v>
      </c>
      <c r="D322">
        <v>40000</v>
      </c>
      <c r="E322">
        <v>2</v>
      </c>
      <c r="F322" t="s">
        <v>19</v>
      </c>
      <c r="G322" t="s">
        <v>20</v>
      </c>
      <c r="H322" t="s">
        <v>15</v>
      </c>
      <c r="I322">
        <v>0</v>
      </c>
      <c r="J322" t="s">
        <v>16</v>
      </c>
      <c r="K322" t="s">
        <v>17</v>
      </c>
      <c r="L322">
        <v>33</v>
      </c>
      <c r="M322" t="s">
        <v>47</v>
      </c>
      <c r="N322" t="s">
        <v>18</v>
      </c>
    </row>
    <row r="323" spans="1:14" x14ac:dyDescent="0.3">
      <c r="A323">
        <v>16675</v>
      </c>
      <c r="B323" t="s">
        <v>37</v>
      </c>
      <c r="C323" t="s">
        <v>42</v>
      </c>
      <c r="D323">
        <v>160000</v>
      </c>
      <c r="E323">
        <v>0</v>
      </c>
      <c r="F323" t="s">
        <v>31</v>
      </c>
      <c r="G323" t="s">
        <v>28</v>
      </c>
      <c r="H323" t="s">
        <v>18</v>
      </c>
      <c r="I323">
        <v>3</v>
      </c>
      <c r="J323" t="s">
        <v>16</v>
      </c>
      <c r="K323" t="s">
        <v>24</v>
      </c>
      <c r="L323">
        <v>47</v>
      </c>
      <c r="M323" t="s">
        <v>47</v>
      </c>
      <c r="N323" t="s">
        <v>15</v>
      </c>
    </row>
    <row r="324" spans="1:14" x14ac:dyDescent="0.3">
      <c r="A324">
        <v>16410</v>
      </c>
      <c r="B324" t="s">
        <v>37</v>
      </c>
      <c r="C324" t="s">
        <v>42</v>
      </c>
      <c r="D324">
        <v>10000</v>
      </c>
      <c r="E324">
        <v>4</v>
      </c>
      <c r="F324" t="s">
        <v>29</v>
      </c>
      <c r="G324" t="s">
        <v>25</v>
      </c>
      <c r="H324" t="s">
        <v>15</v>
      </c>
      <c r="I324">
        <v>2</v>
      </c>
      <c r="J324" t="s">
        <v>16</v>
      </c>
      <c r="K324" t="s">
        <v>17</v>
      </c>
      <c r="L324">
        <v>41</v>
      </c>
      <c r="M324" t="s">
        <v>47</v>
      </c>
      <c r="N324" t="s">
        <v>15</v>
      </c>
    </row>
    <row r="325" spans="1:14" x14ac:dyDescent="0.3">
      <c r="A325">
        <v>27760</v>
      </c>
      <c r="B325" t="s">
        <v>37</v>
      </c>
      <c r="C325" t="s">
        <v>42</v>
      </c>
      <c r="D325">
        <v>40000</v>
      </c>
      <c r="E325">
        <v>0</v>
      </c>
      <c r="F325" t="s">
        <v>31</v>
      </c>
      <c r="G325" t="s">
        <v>20</v>
      </c>
      <c r="H325" t="s">
        <v>18</v>
      </c>
      <c r="I325">
        <v>0</v>
      </c>
      <c r="J325" t="s">
        <v>16</v>
      </c>
      <c r="K325" t="s">
        <v>17</v>
      </c>
      <c r="L325">
        <v>37</v>
      </c>
      <c r="M325" t="s">
        <v>47</v>
      </c>
      <c r="N325" t="s">
        <v>15</v>
      </c>
    </row>
    <row r="326" spans="1:14" x14ac:dyDescent="0.3">
      <c r="A326">
        <v>27582</v>
      </c>
      <c r="B326" t="s">
        <v>37</v>
      </c>
      <c r="C326" t="s">
        <v>42</v>
      </c>
      <c r="D326">
        <v>90000</v>
      </c>
      <c r="E326">
        <v>2</v>
      </c>
      <c r="F326" t="s">
        <v>13</v>
      </c>
      <c r="G326" t="s">
        <v>21</v>
      </c>
      <c r="H326" t="s">
        <v>18</v>
      </c>
      <c r="I326">
        <v>0</v>
      </c>
      <c r="J326" t="s">
        <v>16</v>
      </c>
      <c r="K326" t="s">
        <v>24</v>
      </c>
      <c r="L326">
        <v>36</v>
      </c>
      <c r="M326" t="s">
        <v>47</v>
      </c>
      <c r="N326" t="s">
        <v>15</v>
      </c>
    </row>
    <row r="327" spans="1:14" x14ac:dyDescent="0.3">
      <c r="A327">
        <v>23780</v>
      </c>
      <c r="B327" t="s">
        <v>37</v>
      </c>
      <c r="C327" t="s">
        <v>38</v>
      </c>
      <c r="D327">
        <v>40000</v>
      </c>
      <c r="E327">
        <v>2</v>
      </c>
      <c r="F327" t="s">
        <v>19</v>
      </c>
      <c r="G327" t="s">
        <v>20</v>
      </c>
      <c r="H327" t="s">
        <v>18</v>
      </c>
      <c r="I327">
        <v>2</v>
      </c>
      <c r="J327" t="s">
        <v>16</v>
      </c>
      <c r="K327" t="s">
        <v>17</v>
      </c>
      <c r="L327">
        <v>36</v>
      </c>
      <c r="M327" t="s">
        <v>47</v>
      </c>
      <c r="N327" t="s">
        <v>15</v>
      </c>
    </row>
    <row r="328" spans="1:14" x14ac:dyDescent="0.3">
      <c r="A328">
        <v>20994</v>
      </c>
      <c r="B328" t="s">
        <v>36</v>
      </c>
      <c r="C328" t="s">
        <v>42</v>
      </c>
      <c r="D328">
        <v>20000</v>
      </c>
      <c r="E328">
        <v>0</v>
      </c>
      <c r="F328" t="s">
        <v>13</v>
      </c>
      <c r="G328" t="s">
        <v>20</v>
      </c>
      <c r="H328" t="s">
        <v>18</v>
      </c>
      <c r="I328">
        <v>0</v>
      </c>
      <c r="J328" t="s">
        <v>16</v>
      </c>
      <c r="K328" t="s">
        <v>24</v>
      </c>
      <c r="L328">
        <v>26</v>
      </c>
      <c r="M328" t="s">
        <v>49</v>
      </c>
      <c r="N328" t="s">
        <v>15</v>
      </c>
    </row>
    <row r="329" spans="1:14" x14ac:dyDescent="0.3">
      <c r="A329">
        <v>28379</v>
      </c>
      <c r="B329" t="s">
        <v>36</v>
      </c>
      <c r="C329" t="s">
        <v>38</v>
      </c>
      <c r="D329">
        <v>30000</v>
      </c>
      <c r="E329">
        <v>1</v>
      </c>
      <c r="F329" t="s">
        <v>13</v>
      </c>
      <c r="G329" t="s">
        <v>14</v>
      </c>
      <c r="H329" t="s">
        <v>15</v>
      </c>
      <c r="I329">
        <v>2</v>
      </c>
      <c r="J329" t="s">
        <v>16</v>
      </c>
      <c r="K329" t="s">
        <v>17</v>
      </c>
      <c r="L329">
        <v>40</v>
      </c>
      <c r="M329" t="s">
        <v>47</v>
      </c>
      <c r="N329" t="s">
        <v>18</v>
      </c>
    </row>
    <row r="330" spans="1:14" x14ac:dyDescent="0.3">
      <c r="A330">
        <v>18012</v>
      </c>
      <c r="B330" t="s">
        <v>36</v>
      </c>
      <c r="C330" t="s">
        <v>42</v>
      </c>
      <c r="D330">
        <v>40000</v>
      </c>
      <c r="E330">
        <v>1</v>
      </c>
      <c r="F330" t="s">
        <v>13</v>
      </c>
      <c r="G330" t="s">
        <v>14</v>
      </c>
      <c r="H330" t="s">
        <v>15</v>
      </c>
      <c r="I330">
        <v>0</v>
      </c>
      <c r="J330" t="s">
        <v>16</v>
      </c>
      <c r="K330" t="s">
        <v>17</v>
      </c>
      <c r="L330">
        <v>41</v>
      </c>
      <c r="M330" t="s">
        <v>47</v>
      </c>
      <c r="N330" t="s">
        <v>18</v>
      </c>
    </row>
    <row r="331" spans="1:14" x14ac:dyDescent="0.3">
      <c r="A331">
        <v>22439</v>
      </c>
      <c r="B331" t="s">
        <v>36</v>
      </c>
      <c r="C331" t="s">
        <v>42</v>
      </c>
      <c r="D331">
        <v>30000</v>
      </c>
      <c r="E331">
        <v>0</v>
      </c>
      <c r="F331" t="s">
        <v>13</v>
      </c>
      <c r="G331" t="s">
        <v>20</v>
      </c>
      <c r="H331" t="s">
        <v>15</v>
      </c>
      <c r="I331">
        <v>0</v>
      </c>
      <c r="J331" t="s">
        <v>16</v>
      </c>
      <c r="K331" t="s">
        <v>17</v>
      </c>
      <c r="L331">
        <v>37</v>
      </c>
      <c r="M331" t="s">
        <v>47</v>
      </c>
      <c r="N331" t="s">
        <v>15</v>
      </c>
    </row>
    <row r="332" spans="1:14" x14ac:dyDescent="0.3">
      <c r="A332">
        <v>17882</v>
      </c>
      <c r="B332" t="s">
        <v>36</v>
      </c>
      <c r="C332" t="s">
        <v>38</v>
      </c>
      <c r="D332">
        <v>20000</v>
      </c>
      <c r="E332">
        <v>1</v>
      </c>
      <c r="F332" t="s">
        <v>31</v>
      </c>
      <c r="G332" t="s">
        <v>20</v>
      </c>
      <c r="H332" t="s">
        <v>15</v>
      </c>
      <c r="I332">
        <v>0</v>
      </c>
      <c r="J332" t="s">
        <v>16</v>
      </c>
      <c r="K332" t="s">
        <v>17</v>
      </c>
      <c r="L332">
        <v>44</v>
      </c>
      <c r="M332" t="s">
        <v>47</v>
      </c>
      <c r="N332" t="s">
        <v>18</v>
      </c>
    </row>
    <row r="333" spans="1:14" x14ac:dyDescent="0.3">
      <c r="A333">
        <v>19508</v>
      </c>
      <c r="B333" t="s">
        <v>36</v>
      </c>
      <c r="C333" t="s">
        <v>38</v>
      </c>
      <c r="D333">
        <v>10000</v>
      </c>
      <c r="E333">
        <v>0</v>
      </c>
      <c r="F333" t="s">
        <v>29</v>
      </c>
      <c r="G333" t="s">
        <v>25</v>
      </c>
      <c r="H333" t="s">
        <v>18</v>
      </c>
      <c r="I333">
        <v>2</v>
      </c>
      <c r="J333" t="s">
        <v>16</v>
      </c>
      <c r="K333" t="s">
        <v>17</v>
      </c>
      <c r="L333">
        <v>30</v>
      </c>
      <c r="M333" t="s">
        <v>49</v>
      </c>
      <c r="N333" t="s">
        <v>18</v>
      </c>
    </row>
    <row r="334" spans="1:14" x14ac:dyDescent="0.3">
      <c r="A334">
        <v>22381</v>
      </c>
      <c r="B334" t="s">
        <v>36</v>
      </c>
      <c r="C334" t="s">
        <v>38</v>
      </c>
      <c r="D334">
        <v>10000</v>
      </c>
      <c r="E334">
        <v>1</v>
      </c>
      <c r="F334" t="s">
        <v>31</v>
      </c>
      <c r="G334" t="s">
        <v>25</v>
      </c>
      <c r="H334" t="s">
        <v>15</v>
      </c>
      <c r="I334">
        <v>0</v>
      </c>
      <c r="J334" t="s">
        <v>16</v>
      </c>
      <c r="K334" t="s">
        <v>17</v>
      </c>
      <c r="L334">
        <v>44</v>
      </c>
      <c r="M334" t="s">
        <v>47</v>
      </c>
      <c r="N334" t="s">
        <v>18</v>
      </c>
    </row>
    <row r="335" spans="1:14" x14ac:dyDescent="0.3">
      <c r="A335">
        <v>11555</v>
      </c>
      <c r="B335" t="s">
        <v>36</v>
      </c>
      <c r="C335" t="s">
        <v>42</v>
      </c>
      <c r="D335">
        <v>40000</v>
      </c>
      <c r="E335">
        <v>1</v>
      </c>
      <c r="F335" t="s">
        <v>13</v>
      </c>
      <c r="G335" t="s">
        <v>20</v>
      </c>
      <c r="H335" t="s">
        <v>15</v>
      </c>
      <c r="I335">
        <v>0</v>
      </c>
      <c r="J335" t="s">
        <v>16</v>
      </c>
      <c r="K335" t="s">
        <v>17</v>
      </c>
      <c r="L335">
        <v>80</v>
      </c>
      <c r="M335" t="s">
        <v>48</v>
      </c>
      <c r="N335" t="s">
        <v>18</v>
      </c>
    </row>
    <row r="336" spans="1:14" x14ac:dyDescent="0.3">
      <c r="A336">
        <v>14926</v>
      </c>
      <c r="B336" t="s">
        <v>36</v>
      </c>
      <c r="C336" t="s">
        <v>38</v>
      </c>
      <c r="D336">
        <v>30000</v>
      </c>
      <c r="E336">
        <v>1</v>
      </c>
      <c r="F336" t="s">
        <v>13</v>
      </c>
      <c r="G336" t="s">
        <v>20</v>
      </c>
      <c r="H336" t="s">
        <v>15</v>
      </c>
      <c r="I336">
        <v>0</v>
      </c>
      <c r="J336" t="s">
        <v>16</v>
      </c>
      <c r="K336" t="s">
        <v>17</v>
      </c>
      <c r="L336">
        <v>38</v>
      </c>
      <c r="M336" t="s">
        <v>47</v>
      </c>
      <c r="N336" t="s">
        <v>15</v>
      </c>
    </row>
    <row r="337" spans="1:14" x14ac:dyDescent="0.3">
      <c r="A337">
        <v>24369</v>
      </c>
      <c r="B337" t="s">
        <v>36</v>
      </c>
      <c r="C337" t="s">
        <v>38</v>
      </c>
      <c r="D337">
        <v>80000</v>
      </c>
      <c r="E337">
        <v>5</v>
      </c>
      <c r="F337" t="s">
        <v>31</v>
      </c>
      <c r="G337" t="s">
        <v>28</v>
      </c>
      <c r="H337" t="s">
        <v>18</v>
      </c>
      <c r="I337">
        <v>2</v>
      </c>
      <c r="J337" t="s">
        <v>16</v>
      </c>
      <c r="K337" t="s">
        <v>24</v>
      </c>
      <c r="L337">
        <v>39</v>
      </c>
      <c r="M337" t="s">
        <v>47</v>
      </c>
      <c r="N337" t="s">
        <v>18</v>
      </c>
    </row>
    <row r="338" spans="1:14" x14ac:dyDescent="0.3">
      <c r="A338">
        <v>27165</v>
      </c>
      <c r="B338" t="s">
        <v>37</v>
      </c>
      <c r="C338" t="s">
        <v>38</v>
      </c>
      <c r="D338">
        <v>20000</v>
      </c>
      <c r="E338">
        <v>0</v>
      </c>
      <c r="F338" t="s">
        <v>29</v>
      </c>
      <c r="G338" t="s">
        <v>25</v>
      </c>
      <c r="H338" t="s">
        <v>18</v>
      </c>
      <c r="I338">
        <v>2</v>
      </c>
      <c r="J338" t="s">
        <v>16</v>
      </c>
      <c r="K338" t="s">
        <v>17</v>
      </c>
      <c r="L338">
        <v>34</v>
      </c>
      <c r="M338" t="s">
        <v>47</v>
      </c>
      <c r="N338" t="s">
        <v>18</v>
      </c>
    </row>
    <row r="339" spans="1:14" x14ac:dyDescent="0.3">
      <c r="A339">
        <v>29424</v>
      </c>
      <c r="B339" t="s">
        <v>36</v>
      </c>
      <c r="C339" t="s">
        <v>38</v>
      </c>
      <c r="D339">
        <v>10000</v>
      </c>
      <c r="E339">
        <v>0</v>
      </c>
      <c r="F339" t="s">
        <v>29</v>
      </c>
      <c r="G339" t="s">
        <v>25</v>
      </c>
      <c r="H339" t="s">
        <v>15</v>
      </c>
      <c r="I339">
        <v>2</v>
      </c>
      <c r="J339" t="s">
        <v>16</v>
      </c>
      <c r="K339" t="s">
        <v>17</v>
      </c>
      <c r="L339">
        <v>32</v>
      </c>
      <c r="M339" t="s">
        <v>47</v>
      </c>
      <c r="N339" t="s">
        <v>18</v>
      </c>
    </row>
    <row r="340" spans="1:14" x14ac:dyDescent="0.3">
      <c r="A340">
        <v>17793</v>
      </c>
      <c r="B340" t="s">
        <v>36</v>
      </c>
      <c r="C340" t="s">
        <v>42</v>
      </c>
      <c r="D340">
        <v>40000</v>
      </c>
      <c r="E340">
        <v>0</v>
      </c>
      <c r="F340" t="s">
        <v>13</v>
      </c>
      <c r="G340" t="s">
        <v>20</v>
      </c>
      <c r="H340" t="s">
        <v>15</v>
      </c>
      <c r="I340">
        <v>0</v>
      </c>
      <c r="J340" t="s">
        <v>16</v>
      </c>
      <c r="K340" t="s">
        <v>17</v>
      </c>
      <c r="L340">
        <v>38</v>
      </c>
      <c r="M340" t="s">
        <v>47</v>
      </c>
      <c r="N340" t="s">
        <v>15</v>
      </c>
    </row>
    <row r="341" spans="1:14" x14ac:dyDescent="0.3">
      <c r="A341">
        <v>14554</v>
      </c>
      <c r="B341" t="s">
        <v>36</v>
      </c>
      <c r="C341" t="s">
        <v>38</v>
      </c>
      <c r="D341">
        <v>20000</v>
      </c>
      <c r="E341">
        <v>1</v>
      </c>
      <c r="F341" t="s">
        <v>13</v>
      </c>
      <c r="G341" t="s">
        <v>20</v>
      </c>
      <c r="H341" t="s">
        <v>15</v>
      </c>
      <c r="I341">
        <v>0</v>
      </c>
      <c r="J341" t="s">
        <v>16</v>
      </c>
      <c r="K341" t="s">
        <v>17</v>
      </c>
      <c r="L341">
        <v>66</v>
      </c>
      <c r="M341" t="s">
        <v>48</v>
      </c>
      <c r="N341" t="s">
        <v>18</v>
      </c>
    </row>
    <row r="342" spans="1:14" x14ac:dyDescent="0.3">
      <c r="A342">
        <v>24151</v>
      </c>
      <c r="B342" t="s">
        <v>37</v>
      </c>
      <c r="C342" t="s">
        <v>38</v>
      </c>
      <c r="D342">
        <v>20000</v>
      </c>
      <c r="E342">
        <v>1</v>
      </c>
      <c r="F342" t="s">
        <v>13</v>
      </c>
      <c r="G342" t="s">
        <v>20</v>
      </c>
      <c r="H342" t="s">
        <v>18</v>
      </c>
      <c r="I342">
        <v>0</v>
      </c>
      <c r="J342" t="s">
        <v>16</v>
      </c>
      <c r="K342" t="s">
        <v>17</v>
      </c>
      <c r="L342">
        <v>51</v>
      </c>
      <c r="M342" t="s">
        <v>47</v>
      </c>
      <c r="N342" t="s">
        <v>18</v>
      </c>
    </row>
    <row r="343" spans="1:14" x14ac:dyDescent="0.3">
      <c r="A343">
        <v>26150</v>
      </c>
      <c r="B343" t="s">
        <v>37</v>
      </c>
      <c r="C343" t="s">
        <v>42</v>
      </c>
      <c r="D343">
        <v>70000</v>
      </c>
      <c r="E343">
        <v>0</v>
      </c>
      <c r="F343" t="s">
        <v>13</v>
      </c>
      <c r="G343" t="s">
        <v>21</v>
      </c>
      <c r="H343" t="s">
        <v>18</v>
      </c>
      <c r="I343">
        <v>1</v>
      </c>
      <c r="J343" t="s">
        <v>16</v>
      </c>
      <c r="K343" t="s">
        <v>24</v>
      </c>
      <c r="L343">
        <v>41</v>
      </c>
      <c r="M343" t="s">
        <v>47</v>
      </c>
      <c r="N343" t="s">
        <v>15</v>
      </c>
    </row>
    <row r="344" spans="1:14" x14ac:dyDescent="0.3">
      <c r="A344">
        <v>12568</v>
      </c>
      <c r="B344" t="s">
        <v>36</v>
      </c>
      <c r="C344" t="s">
        <v>42</v>
      </c>
      <c r="D344">
        <v>30000</v>
      </c>
      <c r="E344">
        <v>1</v>
      </c>
      <c r="F344" t="s">
        <v>13</v>
      </c>
      <c r="G344" t="s">
        <v>20</v>
      </c>
      <c r="H344" t="s">
        <v>15</v>
      </c>
      <c r="I344">
        <v>0</v>
      </c>
      <c r="J344" t="s">
        <v>16</v>
      </c>
      <c r="K344" t="s">
        <v>17</v>
      </c>
      <c r="L344">
        <v>64</v>
      </c>
      <c r="M344" t="s">
        <v>48</v>
      </c>
      <c r="N344" t="s">
        <v>18</v>
      </c>
    </row>
    <row r="345" spans="1:14" x14ac:dyDescent="0.3">
      <c r="A345">
        <v>18018</v>
      </c>
      <c r="B345" t="s">
        <v>37</v>
      </c>
      <c r="C345" t="s">
        <v>38</v>
      </c>
      <c r="D345">
        <v>30000</v>
      </c>
      <c r="E345">
        <v>3</v>
      </c>
      <c r="F345" t="s">
        <v>19</v>
      </c>
      <c r="G345" t="s">
        <v>20</v>
      </c>
      <c r="H345" t="s">
        <v>15</v>
      </c>
      <c r="I345">
        <v>0</v>
      </c>
      <c r="J345" t="s">
        <v>16</v>
      </c>
      <c r="K345" t="s">
        <v>17</v>
      </c>
      <c r="L345">
        <v>43</v>
      </c>
      <c r="M345" t="s">
        <v>47</v>
      </c>
      <c r="N345" t="s">
        <v>18</v>
      </c>
    </row>
    <row r="346" spans="1:14" x14ac:dyDescent="0.3">
      <c r="A346">
        <v>12581</v>
      </c>
      <c r="B346" t="s">
        <v>37</v>
      </c>
      <c r="C346" t="s">
        <v>42</v>
      </c>
      <c r="D346">
        <v>10000</v>
      </c>
      <c r="E346">
        <v>0</v>
      </c>
      <c r="F346" t="s">
        <v>19</v>
      </c>
      <c r="G346" t="s">
        <v>25</v>
      </c>
      <c r="H346" t="s">
        <v>18</v>
      </c>
      <c r="I346">
        <v>1</v>
      </c>
      <c r="J346" t="s">
        <v>16</v>
      </c>
      <c r="K346" t="s">
        <v>24</v>
      </c>
      <c r="L346">
        <v>28</v>
      </c>
      <c r="M346" t="s">
        <v>49</v>
      </c>
      <c r="N346" t="s">
        <v>15</v>
      </c>
    </row>
    <row r="347" spans="1:14" x14ac:dyDescent="0.3">
      <c r="A347">
        <v>17894</v>
      </c>
      <c r="B347" t="s">
        <v>36</v>
      </c>
      <c r="C347" t="s">
        <v>42</v>
      </c>
      <c r="D347">
        <v>20000</v>
      </c>
      <c r="E347">
        <v>1</v>
      </c>
      <c r="F347" t="s">
        <v>13</v>
      </c>
      <c r="G347" t="s">
        <v>20</v>
      </c>
      <c r="H347" t="s">
        <v>15</v>
      </c>
      <c r="I347">
        <v>0</v>
      </c>
      <c r="J347" t="s">
        <v>16</v>
      </c>
      <c r="K347" t="s">
        <v>17</v>
      </c>
      <c r="L347">
        <v>50</v>
      </c>
      <c r="M347" t="s">
        <v>47</v>
      </c>
      <c r="N347" t="s">
        <v>15</v>
      </c>
    </row>
    <row r="348" spans="1:14" x14ac:dyDescent="0.3">
      <c r="A348">
        <v>25651</v>
      </c>
      <c r="B348" t="s">
        <v>36</v>
      </c>
      <c r="C348" t="s">
        <v>38</v>
      </c>
      <c r="D348">
        <v>40000</v>
      </c>
      <c r="E348">
        <v>1</v>
      </c>
      <c r="F348" t="s">
        <v>13</v>
      </c>
      <c r="G348" t="s">
        <v>14</v>
      </c>
      <c r="H348" t="s">
        <v>18</v>
      </c>
      <c r="I348">
        <v>0</v>
      </c>
      <c r="J348" t="s">
        <v>16</v>
      </c>
      <c r="K348" t="s">
        <v>17</v>
      </c>
      <c r="L348">
        <v>43</v>
      </c>
      <c r="M348" t="s">
        <v>47</v>
      </c>
      <c r="N348" t="s">
        <v>15</v>
      </c>
    </row>
    <row r="349" spans="1:14" x14ac:dyDescent="0.3">
      <c r="A349">
        <v>22936</v>
      </c>
      <c r="B349" t="s">
        <v>37</v>
      </c>
      <c r="C349" t="s">
        <v>42</v>
      </c>
      <c r="D349">
        <v>60000</v>
      </c>
      <c r="E349">
        <v>1</v>
      </c>
      <c r="F349" t="s">
        <v>19</v>
      </c>
      <c r="G349" t="s">
        <v>14</v>
      </c>
      <c r="H349" t="s">
        <v>18</v>
      </c>
      <c r="I349">
        <v>1</v>
      </c>
      <c r="J349" t="s">
        <v>16</v>
      </c>
      <c r="K349" t="s">
        <v>24</v>
      </c>
      <c r="L349">
        <v>45</v>
      </c>
      <c r="M349" t="s">
        <v>47</v>
      </c>
      <c r="N349" t="s">
        <v>15</v>
      </c>
    </row>
    <row r="350" spans="1:14" x14ac:dyDescent="0.3">
      <c r="A350">
        <v>23915</v>
      </c>
      <c r="B350" t="s">
        <v>36</v>
      </c>
      <c r="C350" t="s">
        <v>38</v>
      </c>
      <c r="D350">
        <v>20000</v>
      </c>
      <c r="E350">
        <v>2</v>
      </c>
      <c r="F350" t="s">
        <v>27</v>
      </c>
      <c r="G350" t="s">
        <v>25</v>
      </c>
      <c r="H350" t="s">
        <v>15</v>
      </c>
      <c r="I350">
        <v>2</v>
      </c>
      <c r="J350" t="s">
        <v>16</v>
      </c>
      <c r="K350" t="s">
        <v>17</v>
      </c>
      <c r="L350">
        <v>42</v>
      </c>
      <c r="M350" t="s">
        <v>47</v>
      </c>
      <c r="N350" t="s">
        <v>18</v>
      </c>
    </row>
    <row r="351" spans="1:14" x14ac:dyDescent="0.3">
      <c r="A351">
        <v>24121</v>
      </c>
      <c r="B351" t="s">
        <v>37</v>
      </c>
      <c r="C351" t="s">
        <v>42</v>
      </c>
      <c r="D351">
        <v>30000</v>
      </c>
      <c r="E351">
        <v>0</v>
      </c>
      <c r="F351" t="s">
        <v>19</v>
      </c>
      <c r="G351" t="s">
        <v>20</v>
      </c>
      <c r="H351" t="s">
        <v>18</v>
      </c>
      <c r="I351">
        <v>1</v>
      </c>
      <c r="J351" t="s">
        <v>16</v>
      </c>
      <c r="K351" t="s">
        <v>17</v>
      </c>
      <c r="L351">
        <v>29</v>
      </c>
      <c r="M351" t="s">
        <v>49</v>
      </c>
      <c r="N351" t="s">
        <v>15</v>
      </c>
    </row>
    <row r="352" spans="1:14" x14ac:dyDescent="0.3">
      <c r="A352">
        <v>27878</v>
      </c>
      <c r="B352" t="s">
        <v>37</v>
      </c>
      <c r="C352" t="s">
        <v>38</v>
      </c>
      <c r="D352">
        <v>20000</v>
      </c>
      <c r="E352">
        <v>0</v>
      </c>
      <c r="F352" t="s">
        <v>19</v>
      </c>
      <c r="G352" t="s">
        <v>25</v>
      </c>
      <c r="H352" t="s">
        <v>18</v>
      </c>
      <c r="I352">
        <v>0</v>
      </c>
      <c r="J352" t="s">
        <v>16</v>
      </c>
      <c r="K352" t="s">
        <v>24</v>
      </c>
      <c r="L352">
        <v>28</v>
      </c>
      <c r="M352" t="s">
        <v>49</v>
      </c>
      <c r="N352" t="s">
        <v>15</v>
      </c>
    </row>
    <row r="353" spans="1:14" x14ac:dyDescent="0.3">
      <c r="A353">
        <v>13572</v>
      </c>
      <c r="B353" t="s">
        <v>37</v>
      </c>
      <c r="C353" t="s">
        <v>38</v>
      </c>
      <c r="D353">
        <v>10000</v>
      </c>
      <c r="E353">
        <v>3</v>
      </c>
      <c r="F353" t="s">
        <v>27</v>
      </c>
      <c r="G353" t="s">
        <v>25</v>
      </c>
      <c r="H353" t="s">
        <v>15</v>
      </c>
      <c r="I353">
        <v>0</v>
      </c>
      <c r="J353" t="s">
        <v>16</v>
      </c>
      <c r="K353" t="s">
        <v>17</v>
      </c>
      <c r="L353">
        <v>37</v>
      </c>
      <c r="M353" t="s">
        <v>47</v>
      </c>
      <c r="N353" t="s">
        <v>15</v>
      </c>
    </row>
    <row r="354" spans="1:14" x14ac:dyDescent="0.3">
      <c r="A354">
        <v>17978</v>
      </c>
      <c r="B354" t="s">
        <v>36</v>
      </c>
      <c r="C354" t="s">
        <v>38</v>
      </c>
      <c r="D354">
        <v>40000</v>
      </c>
      <c r="E354">
        <v>0</v>
      </c>
      <c r="F354" t="s">
        <v>31</v>
      </c>
      <c r="G354" t="s">
        <v>20</v>
      </c>
      <c r="H354" t="s">
        <v>15</v>
      </c>
      <c r="I354">
        <v>0</v>
      </c>
      <c r="J354" t="s">
        <v>16</v>
      </c>
      <c r="K354" t="s">
        <v>17</v>
      </c>
      <c r="L354">
        <v>37</v>
      </c>
      <c r="M354" t="s">
        <v>47</v>
      </c>
      <c r="N354" t="s">
        <v>15</v>
      </c>
    </row>
    <row r="355" spans="1:14" x14ac:dyDescent="0.3">
      <c r="A355">
        <v>26354</v>
      </c>
      <c r="B355" t="s">
        <v>37</v>
      </c>
      <c r="C355" t="s">
        <v>38</v>
      </c>
      <c r="D355">
        <v>40000</v>
      </c>
      <c r="E355">
        <v>0</v>
      </c>
      <c r="F355" t="s">
        <v>31</v>
      </c>
      <c r="G355" t="s">
        <v>20</v>
      </c>
      <c r="H355" t="s">
        <v>18</v>
      </c>
      <c r="I355">
        <v>0</v>
      </c>
      <c r="J355" t="s">
        <v>16</v>
      </c>
      <c r="K355" t="s">
        <v>17</v>
      </c>
      <c r="L355">
        <v>38</v>
      </c>
      <c r="M355" t="s">
        <v>47</v>
      </c>
      <c r="N355" t="s">
        <v>15</v>
      </c>
    </row>
    <row r="356" spans="1:14" x14ac:dyDescent="0.3">
      <c r="A356">
        <v>20977</v>
      </c>
      <c r="B356" t="s">
        <v>36</v>
      </c>
      <c r="C356" t="s">
        <v>38</v>
      </c>
      <c r="D356">
        <v>20000</v>
      </c>
      <c r="E356">
        <v>1</v>
      </c>
      <c r="F356" t="s">
        <v>13</v>
      </c>
      <c r="G356" t="s">
        <v>20</v>
      </c>
      <c r="H356" t="s">
        <v>15</v>
      </c>
      <c r="I356">
        <v>0</v>
      </c>
      <c r="J356" t="s">
        <v>16</v>
      </c>
      <c r="K356" t="s">
        <v>17</v>
      </c>
      <c r="L356">
        <v>64</v>
      </c>
      <c r="M356" t="s">
        <v>48</v>
      </c>
      <c r="N356" t="s">
        <v>15</v>
      </c>
    </row>
    <row r="357" spans="1:14" x14ac:dyDescent="0.3">
      <c r="A357">
        <v>15628</v>
      </c>
      <c r="B357" t="s">
        <v>36</v>
      </c>
      <c r="C357" t="s">
        <v>42</v>
      </c>
      <c r="D357">
        <v>40000</v>
      </c>
      <c r="E357">
        <v>1</v>
      </c>
      <c r="F357" t="s">
        <v>13</v>
      </c>
      <c r="G357" t="s">
        <v>14</v>
      </c>
      <c r="H357" t="s">
        <v>15</v>
      </c>
      <c r="I357">
        <v>1</v>
      </c>
      <c r="J357" t="s">
        <v>16</v>
      </c>
      <c r="K357" t="s">
        <v>17</v>
      </c>
      <c r="L357">
        <v>89</v>
      </c>
      <c r="M357" t="s">
        <v>48</v>
      </c>
      <c r="N357" t="s">
        <v>18</v>
      </c>
    </row>
    <row r="358" spans="1:14" x14ac:dyDescent="0.3">
      <c r="A358">
        <v>23608</v>
      </c>
      <c r="B358" t="s">
        <v>36</v>
      </c>
      <c r="C358" t="s">
        <v>42</v>
      </c>
      <c r="D358">
        <v>150000</v>
      </c>
      <c r="E358">
        <v>3</v>
      </c>
      <c r="F358" t="s">
        <v>27</v>
      </c>
      <c r="G358" t="s">
        <v>21</v>
      </c>
      <c r="H358" t="s">
        <v>15</v>
      </c>
      <c r="I358">
        <v>3</v>
      </c>
      <c r="J358" t="s">
        <v>16</v>
      </c>
      <c r="K358" t="s">
        <v>17</v>
      </c>
      <c r="L358">
        <v>51</v>
      </c>
      <c r="M358" t="s">
        <v>47</v>
      </c>
      <c r="N358" t="s">
        <v>15</v>
      </c>
    </row>
    <row r="359" spans="1:14" x14ac:dyDescent="0.3">
      <c r="A359">
        <v>12510</v>
      </c>
      <c r="B359" t="s">
        <v>36</v>
      </c>
      <c r="C359" t="s">
        <v>38</v>
      </c>
      <c r="D359">
        <v>40000</v>
      </c>
      <c r="E359">
        <v>1</v>
      </c>
      <c r="F359" t="s">
        <v>13</v>
      </c>
      <c r="G359" t="s">
        <v>14</v>
      </c>
      <c r="H359" t="s">
        <v>15</v>
      </c>
      <c r="I359">
        <v>1</v>
      </c>
      <c r="J359" t="s">
        <v>16</v>
      </c>
      <c r="K359" t="s">
        <v>17</v>
      </c>
      <c r="L359">
        <v>43</v>
      </c>
      <c r="M359" t="s">
        <v>47</v>
      </c>
      <c r="N359" t="s">
        <v>15</v>
      </c>
    </row>
    <row r="360" spans="1:14" x14ac:dyDescent="0.3">
      <c r="A360">
        <v>22918</v>
      </c>
      <c r="B360" t="s">
        <v>37</v>
      </c>
      <c r="C360" t="s">
        <v>38</v>
      </c>
      <c r="D360">
        <v>80000</v>
      </c>
      <c r="E360">
        <v>5</v>
      </c>
      <c r="F360" t="s">
        <v>31</v>
      </c>
      <c r="G360" t="s">
        <v>28</v>
      </c>
      <c r="H360" t="s">
        <v>15</v>
      </c>
      <c r="I360">
        <v>3</v>
      </c>
      <c r="J360" t="s">
        <v>16</v>
      </c>
      <c r="K360" t="s">
        <v>24</v>
      </c>
      <c r="L360">
        <v>50</v>
      </c>
      <c r="M360" t="s">
        <v>47</v>
      </c>
      <c r="N360" t="s">
        <v>18</v>
      </c>
    </row>
    <row r="361" spans="1:14" x14ac:dyDescent="0.3">
      <c r="A361">
        <v>25752</v>
      </c>
      <c r="B361" t="s">
        <v>37</v>
      </c>
      <c r="C361" t="s">
        <v>42</v>
      </c>
      <c r="D361">
        <v>20000</v>
      </c>
      <c r="E361">
        <v>2</v>
      </c>
      <c r="F361" t="s">
        <v>19</v>
      </c>
      <c r="G361" t="s">
        <v>25</v>
      </c>
      <c r="H361" t="s">
        <v>18</v>
      </c>
      <c r="I361">
        <v>1</v>
      </c>
      <c r="J361" t="s">
        <v>16</v>
      </c>
      <c r="K361" t="s">
        <v>17</v>
      </c>
      <c r="L361">
        <v>53</v>
      </c>
      <c r="M361" t="s">
        <v>47</v>
      </c>
      <c r="N361" t="s">
        <v>15</v>
      </c>
    </row>
    <row r="362" spans="1:14" x14ac:dyDescent="0.3">
      <c r="A362">
        <v>17310</v>
      </c>
      <c r="B362" t="s">
        <v>36</v>
      </c>
      <c r="C362" t="s">
        <v>38</v>
      </c>
      <c r="D362">
        <v>60000</v>
      </c>
      <c r="E362">
        <v>1</v>
      </c>
      <c r="F362" t="s">
        <v>19</v>
      </c>
      <c r="G362" t="s">
        <v>14</v>
      </c>
      <c r="H362" t="s">
        <v>15</v>
      </c>
      <c r="I362">
        <v>1</v>
      </c>
      <c r="J362" t="s">
        <v>16</v>
      </c>
      <c r="K362" t="s">
        <v>24</v>
      </c>
      <c r="L362">
        <v>45</v>
      </c>
      <c r="M362" t="s">
        <v>47</v>
      </c>
      <c r="N362" t="s">
        <v>15</v>
      </c>
    </row>
    <row r="363" spans="1:14" x14ac:dyDescent="0.3">
      <c r="A363">
        <v>22518</v>
      </c>
      <c r="B363" t="s">
        <v>37</v>
      </c>
      <c r="C363" t="s">
        <v>42</v>
      </c>
      <c r="D363">
        <v>30000</v>
      </c>
      <c r="E363">
        <v>3</v>
      </c>
      <c r="F363" t="s">
        <v>19</v>
      </c>
      <c r="G363" t="s">
        <v>20</v>
      </c>
      <c r="H363" t="s">
        <v>18</v>
      </c>
      <c r="I363">
        <v>2</v>
      </c>
      <c r="J363" t="s">
        <v>16</v>
      </c>
      <c r="K363" t="s">
        <v>17</v>
      </c>
      <c r="L363">
        <v>27</v>
      </c>
      <c r="M363" t="s">
        <v>49</v>
      </c>
      <c r="N363" t="s">
        <v>15</v>
      </c>
    </row>
    <row r="364" spans="1:14" x14ac:dyDescent="0.3">
      <c r="A364">
        <v>13687</v>
      </c>
      <c r="B364" t="s">
        <v>36</v>
      </c>
      <c r="C364" t="s">
        <v>38</v>
      </c>
      <c r="D364">
        <v>40000</v>
      </c>
      <c r="E364">
        <v>1</v>
      </c>
      <c r="F364" t="s">
        <v>13</v>
      </c>
      <c r="G364" t="s">
        <v>14</v>
      </c>
      <c r="H364" t="s">
        <v>15</v>
      </c>
      <c r="I364">
        <v>1</v>
      </c>
      <c r="J364" t="s">
        <v>16</v>
      </c>
      <c r="K364" t="s">
        <v>17</v>
      </c>
      <c r="L364">
        <v>33</v>
      </c>
      <c r="M364" t="s">
        <v>47</v>
      </c>
      <c r="N364" t="s">
        <v>15</v>
      </c>
    </row>
    <row r="365" spans="1:14" x14ac:dyDescent="0.3">
      <c r="A365">
        <v>23571</v>
      </c>
      <c r="B365" t="s">
        <v>36</v>
      </c>
      <c r="C365" t="s">
        <v>42</v>
      </c>
      <c r="D365">
        <v>40000</v>
      </c>
      <c r="E365">
        <v>2</v>
      </c>
      <c r="F365" t="s">
        <v>13</v>
      </c>
      <c r="G365" t="s">
        <v>28</v>
      </c>
      <c r="H365" t="s">
        <v>15</v>
      </c>
      <c r="I365">
        <v>2</v>
      </c>
      <c r="J365" t="s">
        <v>16</v>
      </c>
      <c r="K365" t="s">
        <v>24</v>
      </c>
      <c r="L365">
        <v>66</v>
      </c>
      <c r="M365" t="s">
        <v>48</v>
      </c>
      <c r="N365" t="s">
        <v>15</v>
      </c>
    </row>
    <row r="366" spans="1:14" x14ac:dyDescent="0.3">
      <c r="A366">
        <v>19305</v>
      </c>
      <c r="B366" t="s">
        <v>37</v>
      </c>
      <c r="C366" t="s">
        <v>42</v>
      </c>
      <c r="D366">
        <v>10000</v>
      </c>
      <c r="E366">
        <v>2</v>
      </c>
      <c r="F366" t="s">
        <v>27</v>
      </c>
      <c r="G366" t="s">
        <v>25</v>
      </c>
      <c r="H366" t="s">
        <v>15</v>
      </c>
      <c r="I366">
        <v>1</v>
      </c>
      <c r="J366" t="s">
        <v>16</v>
      </c>
      <c r="K366" t="s">
        <v>17</v>
      </c>
      <c r="L366">
        <v>38</v>
      </c>
      <c r="M366" t="s">
        <v>47</v>
      </c>
      <c r="N366" t="s">
        <v>15</v>
      </c>
    </row>
    <row r="367" spans="1:14" x14ac:dyDescent="0.3">
      <c r="A367">
        <v>22636</v>
      </c>
      <c r="B367" t="s">
        <v>37</v>
      </c>
      <c r="C367" t="s">
        <v>42</v>
      </c>
      <c r="D367">
        <v>40000</v>
      </c>
      <c r="E367">
        <v>0</v>
      </c>
      <c r="F367" t="s">
        <v>13</v>
      </c>
      <c r="G367" t="s">
        <v>20</v>
      </c>
      <c r="H367" t="s">
        <v>18</v>
      </c>
      <c r="I367">
        <v>0</v>
      </c>
      <c r="J367" t="s">
        <v>16</v>
      </c>
      <c r="K367" t="s">
        <v>17</v>
      </c>
      <c r="L367">
        <v>38</v>
      </c>
      <c r="M367" t="s">
        <v>47</v>
      </c>
      <c r="N367" t="s">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71E57-3515-46FA-9D89-9B4BC08498BB}">
  <dimension ref="A1:N79"/>
  <sheetViews>
    <sheetView workbookViewId="0">
      <selection activeCell="J1" sqref="J1:J1048576"/>
    </sheetView>
  </sheetViews>
  <sheetFormatPr defaultRowHeight="14.4" x14ac:dyDescent="0.3"/>
  <cols>
    <col min="2" max="2" width="14.33203125" customWidth="1"/>
    <col min="3" max="3" width="9" customWidth="1"/>
    <col min="4" max="4" width="9.21875" customWidth="1"/>
    <col min="5" max="5" width="9.88671875" customWidth="1"/>
    <col min="6" max="6" width="11.33203125" customWidth="1"/>
    <col min="7" max="7" width="12.5546875" customWidth="1"/>
    <col min="8" max="8" width="13.88671875" customWidth="1"/>
    <col min="10" max="10" width="18.77734375" customWidth="1"/>
    <col min="13" max="13" width="12.88671875" customWidth="1"/>
    <col min="14" max="14" width="15.6640625" customWidth="1"/>
  </cols>
  <sheetData>
    <row r="1" spans="1:14" x14ac:dyDescent="0.3">
      <c r="A1" t="s">
        <v>0</v>
      </c>
      <c r="B1" t="s">
        <v>43</v>
      </c>
      <c r="C1" t="s">
        <v>2</v>
      </c>
      <c r="D1" t="s">
        <v>3</v>
      </c>
      <c r="E1" t="s">
        <v>4</v>
      </c>
      <c r="F1" t="s">
        <v>5</v>
      </c>
      <c r="G1" t="s">
        <v>6</v>
      </c>
      <c r="H1" t="s">
        <v>7</v>
      </c>
      <c r="I1" t="s">
        <v>8</v>
      </c>
      <c r="J1" t="s">
        <v>9</v>
      </c>
      <c r="K1" t="s">
        <v>10</v>
      </c>
      <c r="L1" t="s">
        <v>11</v>
      </c>
      <c r="M1" t="s">
        <v>39</v>
      </c>
      <c r="N1" t="s">
        <v>12</v>
      </c>
    </row>
    <row r="2" spans="1:14" x14ac:dyDescent="0.3">
      <c r="A2">
        <v>29134</v>
      </c>
      <c r="B2" t="s">
        <v>36</v>
      </c>
      <c r="C2" t="s">
        <v>38</v>
      </c>
      <c r="D2">
        <v>60000</v>
      </c>
      <c r="E2">
        <v>4</v>
      </c>
      <c r="F2" t="s">
        <v>13</v>
      </c>
      <c r="G2" t="s">
        <v>14</v>
      </c>
      <c r="H2" t="s">
        <v>18</v>
      </c>
      <c r="I2">
        <v>3</v>
      </c>
      <c r="J2" t="s">
        <v>30</v>
      </c>
      <c r="K2" t="s">
        <v>32</v>
      </c>
      <c r="L2">
        <v>42</v>
      </c>
      <c r="M2" t="s">
        <v>47</v>
      </c>
      <c r="N2" t="s">
        <v>18</v>
      </c>
    </row>
    <row r="3" spans="1:14" x14ac:dyDescent="0.3">
      <c r="A3">
        <v>22730</v>
      </c>
      <c r="B3" t="s">
        <v>36</v>
      </c>
      <c r="C3" t="s">
        <v>38</v>
      </c>
      <c r="D3">
        <v>70000</v>
      </c>
      <c r="E3">
        <v>5</v>
      </c>
      <c r="F3" t="s">
        <v>13</v>
      </c>
      <c r="G3" t="s">
        <v>28</v>
      </c>
      <c r="H3" t="s">
        <v>15</v>
      </c>
      <c r="I3">
        <v>2</v>
      </c>
      <c r="J3" t="s">
        <v>30</v>
      </c>
      <c r="K3" t="s">
        <v>32</v>
      </c>
      <c r="L3">
        <v>63</v>
      </c>
      <c r="M3" t="s">
        <v>48</v>
      </c>
      <c r="N3" t="s">
        <v>18</v>
      </c>
    </row>
    <row r="4" spans="1:14" x14ac:dyDescent="0.3">
      <c r="A4">
        <v>28972</v>
      </c>
      <c r="B4" t="s">
        <v>37</v>
      </c>
      <c r="C4" t="s">
        <v>42</v>
      </c>
      <c r="D4">
        <v>60000</v>
      </c>
      <c r="E4">
        <v>3</v>
      </c>
      <c r="F4" t="s">
        <v>31</v>
      </c>
      <c r="G4" t="s">
        <v>28</v>
      </c>
      <c r="H4" t="s">
        <v>15</v>
      </c>
      <c r="I4">
        <v>2</v>
      </c>
      <c r="J4" t="s">
        <v>30</v>
      </c>
      <c r="K4" t="s">
        <v>32</v>
      </c>
      <c r="L4">
        <v>66</v>
      </c>
      <c r="M4" t="s">
        <v>48</v>
      </c>
      <c r="N4" t="s">
        <v>18</v>
      </c>
    </row>
    <row r="5" spans="1:14" x14ac:dyDescent="0.3">
      <c r="A5">
        <v>28004</v>
      </c>
      <c r="B5" t="s">
        <v>36</v>
      </c>
      <c r="C5" t="s">
        <v>42</v>
      </c>
      <c r="D5">
        <v>60000</v>
      </c>
      <c r="E5">
        <v>3</v>
      </c>
      <c r="F5" t="s">
        <v>13</v>
      </c>
      <c r="G5" t="s">
        <v>28</v>
      </c>
      <c r="H5" t="s">
        <v>15</v>
      </c>
      <c r="I5">
        <v>2</v>
      </c>
      <c r="J5" t="s">
        <v>30</v>
      </c>
      <c r="K5" t="s">
        <v>32</v>
      </c>
      <c r="L5">
        <v>66</v>
      </c>
      <c r="M5" t="s">
        <v>48</v>
      </c>
      <c r="N5" t="s">
        <v>18</v>
      </c>
    </row>
    <row r="6" spans="1:14" x14ac:dyDescent="0.3">
      <c r="A6">
        <v>27434</v>
      </c>
      <c r="B6" t="s">
        <v>37</v>
      </c>
      <c r="C6" t="s">
        <v>38</v>
      </c>
      <c r="D6">
        <v>70000</v>
      </c>
      <c r="E6">
        <v>4</v>
      </c>
      <c r="F6" t="s">
        <v>19</v>
      </c>
      <c r="G6" t="s">
        <v>21</v>
      </c>
      <c r="H6" t="s">
        <v>15</v>
      </c>
      <c r="I6">
        <v>1</v>
      </c>
      <c r="J6" t="s">
        <v>30</v>
      </c>
      <c r="K6" t="s">
        <v>32</v>
      </c>
      <c r="L6">
        <v>56</v>
      </c>
      <c r="M6" t="s">
        <v>48</v>
      </c>
      <c r="N6" t="s">
        <v>18</v>
      </c>
    </row>
    <row r="7" spans="1:14" x14ac:dyDescent="0.3">
      <c r="A7">
        <v>16813</v>
      </c>
      <c r="B7" t="s">
        <v>36</v>
      </c>
      <c r="C7" t="s">
        <v>38</v>
      </c>
      <c r="D7">
        <v>60000</v>
      </c>
      <c r="E7">
        <v>2</v>
      </c>
      <c r="F7" t="s">
        <v>19</v>
      </c>
      <c r="G7" t="s">
        <v>21</v>
      </c>
      <c r="H7" t="s">
        <v>15</v>
      </c>
      <c r="I7">
        <v>2</v>
      </c>
      <c r="J7" t="s">
        <v>30</v>
      </c>
      <c r="K7" t="s">
        <v>32</v>
      </c>
      <c r="L7">
        <v>55</v>
      </c>
      <c r="M7" t="s">
        <v>48</v>
      </c>
      <c r="N7" t="s">
        <v>18</v>
      </c>
    </row>
    <row r="8" spans="1:14" x14ac:dyDescent="0.3">
      <c r="A8">
        <v>28056</v>
      </c>
      <c r="B8" t="s">
        <v>36</v>
      </c>
      <c r="C8" t="s">
        <v>38</v>
      </c>
      <c r="D8">
        <v>70000</v>
      </c>
      <c r="E8">
        <v>2</v>
      </c>
      <c r="F8" t="s">
        <v>29</v>
      </c>
      <c r="G8" t="s">
        <v>14</v>
      </c>
      <c r="H8" t="s">
        <v>15</v>
      </c>
      <c r="I8">
        <v>2</v>
      </c>
      <c r="J8" t="s">
        <v>30</v>
      </c>
      <c r="K8" t="s">
        <v>32</v>
      </c>
      <c r="L8">
        <v>53</v>
      </c>
      <c r="M8" t="s">
        <v>47</v>
      </c>
      <c r="N8" t="s">
        <v>18</v>
      </c>
    </row>
    <row r="9" spans="1:14" x14ac:dyDescent="0.3">
      <c r="A9">
        <v>19543</v>
      </c>
      <c r="B9" t="s">
        <v>36</v>
      </c>
      <c r="C9" t="s">
        <v>38</v>
      </c>
      <c r="D9">
        <v>70000</v>
      </c>
      <c r="E9">
        <v>5</v>
      </c>
      <c r="F9" t="s">
        <v>31</v>
      </c>
      <c r="G9" t="s">
        <v>21</v>
      </c>
      <c r="H9" t="s">
        <v>18</v>
      </c>
      <c r="I9">
        <v>3</v>
      </c>
      <c r="J9" t="s">
        <v>30</v>
      </c>
      <c r="K9" t="s">
        <v>32</v>
      </c>
      <c r="L9">
        <v>47</v>
      </c>
      <c r="M9" t="s">
        <v>47</v>
      </c>
      <c r="N9" t="s">
        <v>18</v>
      </c>
    </row>
    <row r="10" spans="1:14" x14ac:dyDescent="0.3">
      <c r="A10">
        <v>26495</v>
      </c>
      <c r="B10" t="s">
        <v>37</v>
      </c>
      <c r="C10" t="s">
        <v>42</v>
      </c>
      <c r="D10">
        <v>40000</v>
      </c>
      <c r="E10">
        <v>2</v>
      </c>
      <c r="F10" t="s">
        <v>27</v>
      </c>
      <c r="G10" t="s">
        <v>21</v>
      </c>
      <c r="H10" t="s">
        <v>15</v>
      </c>
      <c r="I10">
        <v>2</v>
      </c>
      <c r="J10" t="s">
        <v>30</v>
      </c>
      <c r="K10" t="s">
        <v>32</v>
      </c>
      <c r="L10">
        <v>57</v>
      </c>
      <c r="M10" t="s">
        <v>48</v>
      </c>
      <c r="N10" t="s">
        <v>18</v>
      </c>
    </row>
    <row r="11" spans="1:14" x14ac:dyDescent="0.3">
      <c r="A11">
        <v>21451</v>
      </c>
      <c r="B11" t="s">
        <v>36</v>
      </c>
      <c r="C11" t="s">
        <v>42</v>
      </c>
      <c r="D11">
        <v>40000</v>
      </c>
      <c r="E11">
        <v>4</v>
      </c>
      <c r="F11" t="s">
        <v>27</v>
      </c>
      <c r="G11" t="s">
        <v>21</v>
      </c>
      <c r="H11" t="s">
        <v>15</v>
      </c>
      <c r="I11">
        <v>2</v>
      </c>
      <c r="J11" t="s">
        <v>30</v>
      </c>
      <c r="K11" t="s">
        <v>32</v>
      </c>
      <c r="L11">
        <v>61</v>
      </c>
      <c r="M11" t="s">
        <v>48</v>
      </c>
      <c r="N11" t="s">
        <v>18</v>
      </c>
    </row>
    <row r="12" spans="1:14" x14ac:dyDescent="0.3">
      <c r="A12">
        <v>21752</v>
      </c>
      <c r="B12" t="s">
        <v>36</v>
      </c>
      <c r="C12" t="s">
        <v>38</v>
      </c>
      <c r="D12">
        <v>60000</v>
      </c>
      <c r="E12">
        <v>3</v>
      </c>
      <c r="F12" t="s">
        <v>31</v>
      </c>
      <c r="G12" t="s">
        <v>28</v>
      </c>
      <c r="H12" t="s">
        <v>15</v>
      </c>
      <c r="I12">
        <v>2</v>
      </c>
      <c r="J12" t="s">
        <v>30</v>
      </c>
      <c r="K12" t="s">
        <v>32</v>
      </c>
      <c r="L12">
        <v>64</v>
      </c>
      <c r="M12" t="s">
        <v>48</v>
      </c>
      <c r="N12" t="s">
        <v>18</v>
      </c>
    </row>
    <row r="13" spans="1:14" x14ac:dyDescent="0.3">
      <c r="A13">
        <v>12697</v>
      </c>
      <c r="B13" t="s">
        <v>37</v>
      </c>
      <c r="C13" t="s">
        <v>42</v>
      </c>
      <c r="D13">
        <v>90000</v>
      </c>
      <c r="E13">
        <v>0</v>
      </c>
      <c r="F13" t="s">
        <v>13</v>
      </c>
      <c r="G13" t="s">
        <v>21</v>
      </c>
      <c r="H13" t="s">
        <v>18</v>
      </c>
      <c r="I13">
        <v>4</v>
      </c>
      <c r="J13" t="s">
        <v>30</v>
      </c>
      <c r="K13" t="s">
        <v>24</v>
      </c>
      <c r="L13">
        <v>36</v>
      </c>
      <c r="M13" t="s">
        <v>47</v>
      </c>
      <c r="N13" t="s">
        <v>18</v>
      </c>
    </row>
    <row r="14" spans="1:14" x14ac:dyDescent="0.3">
      <c r="A14">
        <v>19747</v>
      </c>
      <c r="B14" t="s">
        <v>36</v>
      </c>
      <c r="C14" t="s">
        <v>38</v>
      </c>
      <c r="D14">
        <v>50000</v>
      </c>
      <c r="E14">
        <v>4</v>
      </c>
      <c r="F14" t="s">
        <v>13</v>
      </c>
      <c r="G14" t="s">
        <v>28</v>
      </c>
      <c r="H14" t="s">
        <v>15</v>
      </c>
      <c r="I14">
        <v>2</v>
      </c>
      <c r="J14" t="s">
        <v>30</v>
      </c>
      <c r="K14" t="s">
        <v>32</v>
      </c>
      <c r="L14">
        <v>63</v>
      </c>
      <c r="M14" t="s">
        <v>48</v>
      </c>
      <c r="N14" t="s">
        <v>18</v>
      </c>
    </row>
    <row r="15" spans="1:14" x14ac:dyDescent="0.3">
      <c r="A15">
        <v>28192</v>
      </c>
      <c r="B15" t="s">
        <v>36</v>
      </c>
      <c r="C15" t="s">
        <v>42</v>
      </c>
      <c r="D15">
        <v>70000</v>
      </c>
      <c r="E15">
        <v>5</v>
      </c>
      <c r="F15" t="s">
        <v>31</v>
      </c>
      <c r="G15" t="s">
        <v>21</v>
      </c>
      <c r="H15" t="s">
        <v>15</v>
      </c>
      <c r="I15">
        <v>3</v>
      </c>
      <c r="J15" t="s">
        <v>30</v>
      </c>
      <c r="K15" t="s">
        <v>32</v>
      </c>
      <c r="L15">
        <v>46</v>
      </c>
      <c r="M15" t="s">
        <v>47</v>
      </c>
      <c r="N15" t="s">
        <v>18</v>
      </c>
    </row>
    <row r="16" spans="1:14" x14ac:dyDescent="0.3">
      <c r="A16">
        <v>11219</v>
      </c>
      <c r="B16" t="s">
        <v>36</v>
      </c>
      <c r="C16" t="s">
        <v>38</v>
      </c>
      <c r="D16">
        <v>60000</v>
      </c>
      <c r="E16">
        <v>2</v>
      </c>
      <c r="F16" t="s">
        <v>27</v>
      </c>
      <c r="G16" t="s">
        <v>21</v>
      </c>
      <c r="H16" t="s">
        <v>15</v>
      </c>
      <c r="I16">
        <v>2</v>
      </c>
      <c r="J16" t="s">
        <v>30</v>
      </c>
      <c r="K16" t="s">
        <v>32</v>
      </c>
      <c r="L16">
        <v>55</v>
      </c>
      <c r="M16" t="s">
        <v>48</v>
      </c>
      <c r="N16" t="s">
        <v>18</v>
      </c>
    </row>
    <row r="17" spans="1:14" x14ac:dyDescent="0.3">
      <c r="A17">
        <v>28052</v>
      </c>
      <c r="B17" t="s">
        <v>36</v>
      </c>
      <c r="C17" t="s">
        <v>38</v>
      </c>
      <c r="D17">
        <v>60000</v>
      </c>
      <c r="E17">
        <v>2</v>
      </c>
      <c r="F17" t="s">
        <v>27</v>
      </c>
      <c r="G17" t="s">
        <v>21</v>
      </c>
      <c r="H17" t="s">
        <v>15</v>
      </c>
      <c r="I17">
        <v>2</v>
      </c>
      <c r="J17" t="s">
        <v>30</v>
      </c>
      <c r="K17" t="s">
        <v>32</v>
      </c>
      <c r="L17">
        <v>55</v>
      </c>
      <c r="M17" t="s">
        <v>48</v>
      </c>
      <c r="N17" t="s">
        <v>18</v>
      </c>
    </row>
    <row r="18" spans="1:14" x14ac:dyDescent="0.3">
      <c r="A18">
        <v>22743</v>
      </c>
      <c r="B18" t="s">
        <v>36</v>
      </c>
      <c r="C18" t="s">
        <v>42</v>
      </c>
      <c r="D18">
        <v>40000</v>
      </c>
      <c r="E18">
        <v>5</v>
      </c>
      <c r="F18" t="s">
        <v>27</v>
      </c>
      <c r="G18" t="s">
        <v>21</v>
      </c>
      <c r="H18" t="s">
        <v>15</v>
      </c>
      <c r="I18">
        <v>2</v>
      </c>
      <c r="J18" t="s">
        <v>30</v>
      </c>
      <c r="K18" t="s">
        <v>32</v>
      </c>
      <c r="L18">
        <v>60</v>
      </c>
      <c r="M18" t="s">
        <v>48</v>
      </c>
      <c r="N18" t="s">
        <v>18</v>
      </c>
    </row>
    <row r="19" spans="1:14" x14ac:dyDescent="0.3">
      <c r="A19">
        <v>11233</v>
      </c>
      <c r="B19" t="s">
        <v>36</v>
      </c>
      <c r="C19" t="s">
        <v>38</v>
      </c>
      <c r="D19">
        <v>70000</v>
      </c>
      <c r="E19">
        <v>4</v>
      </c>
      <c r="F19" t="s">
        <v>19</v>
      </c>
      <c r="G19" t="s">
        <v>21</v>
      </c>
      <c r="H19" t="s">
        <v>15</v>
      </c>
      <c r="I19">
        <v>2</v>
      </c>
      <c r="J19" t="s">
        <v>30</v>
      </c>
      <c r="K19" t="s">
        <v>32</v>
      </c>
      <c r="L19">
        <v>53</v>
      </c>
      <c r="M19" t="s">
        <v>47</v>
      </c>
      <c r="N19" t="s">
        <v>18</v>
      </c>
    </row>
    <row r="20" spans="1:14" x14ac:dyDescent="0.3">
      <c r="A20">
        <v>25899</v>
      </c>
      <c r="B20" t="s">
        <v>36</v>
      </c>
      <c r="C20" t="s">
        <v>42</v>
      </c>
      <c r="D20">
        <v>70000</v>
      </c>
      <c r="E20">
        <v>2</v>
      </c>
      <c r="F20" t="s">
        <v>27</v>
      </c>
      <c r="G20" t="s">
        <v>21</v>
      </c>
      <c r="H20" t="s">
        <v>15</v>
      </c>
      <c r="I20">
        <v>2</v>
      </c>
      <c r="J20" t="s">
        <v>30</v>
      </c>
      <c r="K20" t="s">
        <v>32</v>
      </c>
      <c r="L20">
        <v>53</v>
      </c>
      <c r="M20" t="s">
        <v>47</v>
      </c>
      <c r="N20" t="s">
        <v>18</v>
      </c>
    </row>
    <row r="21" spans="1:14" x14ac:dyDescent="0.3">
      <c r="A21">
        <v>15749</v>
      </c>
      <c r="B21" t="s">
        <v>37</v>
      </c>
      <c r="C21" t="s">
        <v>42</v>
      </c>
      <c r="D21">
        <v>70000</v>
      </c>
      <c r="E21">
        <v>4</v>
      </c>
      <c r="F21" t="s">
        <v>13</v>
      </c>
      <c r="G21" t="s">
        <v>28</v>
      </c>
      <c r="H21" t="s">
        <v>15</v>
      </c>
      <c r="I21">
        <v>2</v>
      </c>
      <c r="J21" t="s">
        <v>30</v>
      </c>
      <c r="K21" t="s">
        <v>32</v>
      </c>
      <c r="L21">
        <v>61</v>
      </c>
      <c r="M21" t="s">
        <v>48</v>
      </c>
      <c r="N21" t="s">
        <v>18</v>
      </c>
    </row>
    <row r="22" spans="1:14" x14ac:dyDescent="0.3">
      <c r="A22">
        <v>18105</v>
      </c>
      <c r="B22" t="s">
        <v>36</v>
      </c>
      <c r="C22" t="s">
        <v>42</v>
      </c>
      <c r="D22">
        <v>60000</v>
      </c>
      <c r="E22">
        <v>2</v>
      </c>
      <c r="F22" t="s">
        <v>19</v>
      </c>
      <c r="G22" t="s">
        <v>21</v>
      </c>
      <c r="H22" t="s">
        <v>15</v>
      </c>
      <c r="I22">
        <v>1</v>
      </c>
      <c r="J22" t="s">
        <v>30</v>
      </c>
      <c r="K22" t="s">
        <v>32</v>
      </c>
      <c r="L22">
        <v>55</v>
      </c>
      <c r="M22" t="s">
        <v>48</v>
      </c>
      <c r="N22" t="s">
        <v>18</v>
      </c>
    </row>
    <row r="23" spans="1:14" x14ac:dyDescent="0.3">
      <c r="A23">
        <v>21564</v>
      </c>
      <c r="B23" t="s">
        <v>37</v>
      </c>
      <c r="C23" t="s">
        <v>42</v>
      </c>
      <c r="D23">
        <v>80000</v>
      </c>
      <c r="E23">
        <v>0</v>
      </c>
      <c r="F23" t="s">
        <v>13</v>
      </c>
      <c r="G23" t="s">
        <v>21</v>
      </c>
      <c r="H23" t="s">
        <v>15</v>
      </c>
      <c r="I23">
        <v>4</v>
      </c>
      <c r="J23" t="s">
        <v>30</v>
      </c>
      <c r="K23" t="s">
        <v>24</v>
      </c>
      <c r="L23">
        <v>35</v>
      </c>
      <c r="M23" t="s">
        <v>47</v>
      </c>
      <c r="N23" t="s">
        <v>18</v>
      </c>
    </row>
    <row r="24" spans="1:14" x14ac:dyDescent="0.3">
      <c r="A24">
        <v>29030</v>
      </c>
      <c r="B24" t="s">
        <v>36</v>
      </c>
      <c r="C24" t="s">
        <v>38</v>
      </c>
      <c r="D24">
        <v>70000</v>
      </c>
      <c r="E24">
        <v>2</v>
      </c>
      <c r="F24" t="s">
        <v>29</v>
      </c>
      <c r="G24" t="s">
        <v>14</v>
      </c>
      <c r="H24" t="s">
        <v>15</v>
      </c>
      <c r="I24">
        <v>2</v>
      </c>
      <c r="J24" t="s">
        <v>30</v>
      </c>
      <c r="K24" t="s">
        <v>32</v>
      </c>
      <c r="L24">
        <v>54</v>
      </c>
      <c r="M24" t="s">
        <v>47</v>
      </c>
      <c r="N24" t="s">
        <v>18</v>
      </c>
    </row>
    <row r="25" spans="1:14" x14ac:dyDescent="0.3">
      <c r="A25">
        <v>14608</v>
      </c>
      <c r="B25" t="s">
        <v>36</v>
      </c>
      <c r="C25" t="s">
        <v>38</v>
      </c>
      <c r="D25">
        <v>50000</v>
      </c>
      <c r="E25">
        <v>4</v>
      </c>
      <c r="F25" t="s">
        <v>13</v>
      </c>
      <c r="G25" t="s">
        <v>14</v>
      </c>
      <c r="H25" t="s">
        <v>15</v>
      </c>
      <c r="I25">
        <v>3</v>
      </c>
      <c r="J25" t="s">
        <v>30</v>
      </c>
      <c r="K25" t="s">
        <v>32</v>
      </c>
      <c r="L25">
        <v>42</v>
      </c>
      <c r="M25" t="s">
        <v>47</v>
      </c>
      <c r="N25" t="s">
        <v>18</v>
      </c>
    </row>
    <row r="26" spans="1:14" x14ac:dyDescent="0.3">
      <c r="A26">
        <v>13216</v>
      </c>
      <c r="B26" t="s">
        <v>36</v>
      </c>
      <c r="C26" t="s">
        <v>42</v>
      </c>
      <c r="D26">
        <v>60000</v>
      </c>
      <c r="E26">
        <v>5</v>
      </c>
      <c r="F26" t="s">
        <v>13</v>
      </c>
      <c r="G26" t="s">
        <v>28</v>
      </c>
      <c r="H26" t="s">
        <v>15</v>
      </c>
      <c r="I26">
        <v>3</v>
      </c>
      <c r="J26" t="s">
        <v>30</v>
      </c>
      <c r="K26" t="s">
        <v>32</v>
      </c>
      <c r="L26">
        <v>59</v>
      </c>
      <c r="M26" t="s">
        <v>48</v>
      </c>
      <c r="N26" t="s">
        <v>18</v>
      </c>
    </row>
    <row r="27" spans="1:14" x14ac:dyDescent="0.3">
      <c r="A27">
        <v>28043</v>
      </c>
      <c r="B27" t="s">
        <v>36</v>
      </c>
      <c r="C27" t="s">
        <v>42</v>
      </c>
      <c r="D27">
        <v>60000</v>
      </c>
      <c r="E27">
        <v>2</v>
      </c>
      <c r="F27" t="s">
        <v>13</v>
      </c>
      <c r="G27" t="s">
        <v>28</v>
      </c>
      <c r="H27" t="s">
        <v>15</v>
      </c>
      <c r="I27">
        <v>0</v>
      </c>
      <c r="J27" t="s">
        <v>30</v>
      </c>
      <c r="K27" t="s">
        <v>32</v>
      </c>
      <c r="L27">
        <v>56</v>
      </c>
      <c r="M27" t="s">
        <v>48</v>
      </c>
      <c r="N27" t="s">
        <v>18</v>
      </c>
    </row>
    <row r="28" spans="1:14" x14ac:dyDescent="0.3">
      <c r="A28">
        <v>20535</v>
      </c>
      <c r="B28" t="s">
        <v>36</v>
      </c>
      <c r="C28" t="s">
        <v>42</v>
      </c>
      <c r="D28">
        <v>70000</v>
      </c>
      <c r="E28">
        <v>4</v>
      </c>
      <c r="F28" t="s">
        <v>19</v>
      </c>
      <c r="G28" t="s">
        <v>21</v>
      </c>
      <c r="H28" t="s">
        <v>15</v>
      </c>
      <c r="I28">
        <v>1</v>
      </c>
      <c r="J28" t="s">
        <v>30</v>
      </c>
      <c r="K28" t="s">
        <v>32</v>
      </c>
      <c r="L28">
        <v>56</v>
      </c>
      <c r="M28" t="s">
        <v>48</v>
      </c>
      <c r="N28" t="s">
        <v>18</v>
      </c>
    </row>
    <row r="29" spans="1:14" x14ac:dyDescent="0.3">
      <c r="A29">
        <v>11225</v>
      </c>
      <c r="B29" t="s">
        <v>36</v>
      </c>
      <c r="C29" t="s">
        <v>42</v>
      </c>
      <c r="D29">
        <v>60000</v>
      </c>
      <c r="E29">
        <v>2</v>
      </c>
      <c r="F29" t="s">
        <v>19</v>
      </c>
      <c r="G29" t="s">
        <v>21</v>
      </c>
      <c r="H29" t="s">
        <v>15</v>
      </c>
      <c r="I29">
        <v>1</v>
      </c>
      <c r="J29" t="s">
        <v>30</v>
      </c>
      <c r="K29" t="s">
        <v>32</v>
      </c>
      <c r="L29">
        <v>55</v>
      </c>
      <c r="M29" t="s">
        <v>48</v>
      </c>
      <c r="N29" t="s">
        <v>18</v>
      </c>
    </row>
    <row r="30" spans="1:14" x14ac:dyDescent="0.3">
      <c r="A30">
        <v>20518</v>
      </c>
      <c r="B30" t="s">
        <v>36</v>
      </c>
      <c r="C30" t="s">
        <v>42</v>
      </c>
      <c r="D30">
        <v>70000</v>
      </c>
      <c r="E30">
        <v>2</v>
      </c>
      <c r="F30" t="s">
        <v>19</v>
      </c>
      <c r="G30" t="s">
        <v>21</v>
      </c>
      <c r="H30" t="s">
        <v>15</v>
      </c>
      <c r="I30">
        <v>1</v>
      </c>
      <c r="J30" t="s">
        <v>30</v>
      </c>
      <c r="K30" t="s">
        <v>32</v>
      </c>
      <c r="L30">
        <v>58</v>
      </c>
      <c r="M30" t="s">
        <v>48</v>
      </c>
      <c r="N30" t="s">
        <v>18</v>
      </c>
    </row>
    <row r="31" spans="1:14" x14ac:dyDescent="0.3">
      <c r="A31">
        <v>23712</v>
      </c>
      <c r="B31" t="s">
        <v>37</v>
      </c>
      <c r="C31" t="s">
        <v>42</v>
      </c>
      <c r="D31">
        <v>70000</v>
      </c>
      <c r="E31">
        <v>2</v>
      </c>
      <c r="F31" t="s">
        <v>13</v>
      </c>
      <c r="G31" t="s">
        <v>28</v>
      </c>
      <c r="H31" t="s">
        <v>15</v>
      </c>
      <c r="I31">
        <v>1</v>
      </c>
      <c r="J31" t="s">
        <v>30</v>
      </c>
      <c r="K31" t="s">
        <v>32</v>
      </c>
      <c r="L31">
        <v>59</v>
      </c>
      <c r="M31" t="s">
        <v>48</v>
      </c>
      <c r="N31" t="s">
        <v>18</v>
      </c>
    </row>
    <row r="32" spans="1:14" x14ac:dyDescent="0.3">
      <c r="A32">
        <v>18069</v>
      </c>
      <c r="B32" t="s">
        <v>36</v>
      </c>
      <c r="C32" t="s">
        <v>38</v>
      </c>
      <c r="D32">
        <v>70000</v>
      </c>
      <c r="E32">
        <v>5</v>
      </c>
      <c r="F32" t="s">
        <v>13</v>
      </c>
      <c r="G32" t="s">
        <v>28</v>
      </c>
      <c r="H32" t="s">
        <v>15</v>
      </c>
      <c r="I32">
        <v>4</v>
      </c>
      <c r="J32" t="s">
        <v>30</v>
      </c>
      <c r="K32" t="s">
        <v>32</v>
      </c>
      <c r="L32">
        <v>60</v>
      </c>
      <c r="M32" t="s">
        <v>48</v>
      </c>
      <c r="N32" t="s">
        <v>18</v>
      </c>
    </row>
    <row r="33" spans="1:14" x14ac:dyDescent="0.3">
      <c r="A33">
        <v>11199</v>
      </c>
      <c r="B33" t="s">
        <v>36</v>
      </c>
      <c r="C33" t="s">
        <v>42</v>
      </c>
      <c r="D33">
        <v>70000</v>
      </c>
      <c r="E33">
        <v>4</v>
      </c>
      <c r="F33" t="s">
        <v>13</v>
      </c>
      <c r="G33" t="s">
        <v>28</v>
      </c>
      <c r="H33" t="s">
        <v>15</v>
      </c>
      <c r="I33">
        <v>1</v>
      </c>
      <c r="J33" t="s">
        <v>30</v>
      </c>
      <c r="K33" t="s">
        <v>32</v>
      </c>
      <c r="L33">
        <v>59</v>
      </c>
      <c r="M33" t="s">
        <v>48</v>
      </c>
      <c r="N33" t="s">
        <v>18</v>
      </c>
    </row>
    <row r="34" spans="1:14" x14ac:dyDescent="0.3">
      <c r="A34">
        <v>21770</v>
      </c>
      <c r="B34" t="s">
        <v>36</v>
      </c>
      <c r="C34" t="s">
        <v>38</v>
      </c>
      <c r="D34">
        <v>60000</v>
      </c>
      <c r="E34">
        <v>4</v>
      </c>
      <c r="F34" t="s">
        <v>13</v>
      </c>
      <c r="G34" t="s">
        <v>28</v>
      </c>
      <c r="H34" t="s">
        <v>15</v>
      </c>
      <c r="I34">
        <v>2</v>
      </c>
      <c r="J34" t="s">
        <v>30</v>
      </c>
      <c r="K34" t="s">
        <v>32</v>
      </c>
      <c r="L34">
        <v>60</v>
      </c>
      <c r="M34" t="s">
        <v>48</v>
      </c>
      <c r="N34" t="s">
        <v>18</v>
      </c>
    </row>
    <row r="35" spans="1:14" x14ac:dyDescent="0.3">
      <c r="A35">
        <v>21471</v>
      </c>
      <c r="B35" t="s">
        <v>36</v>
      </c>
      <c r="C35" t="s">
        <v>38</v>
      </c>
      <c r="D35">
        <v>70000</v>
      </c>
      <c r="E35">
        <v>2</v>
      </c>
      <c r="F35" t="s">
        <v>19</v>
      </c>
      <c r="G35" t="s">
        <v>21</v>
      </c>
      <c r="H35" t="s">
        <v>15</v>
      </c>
      <c r="I35">
        <v>1</v>
      </c>
      <c r="J35" t="s">
        <v>30</v>
      </c>
      <c r="K35" t="s">
        <v>32</v>
      </c>
      <c r="L35">
        <v>59</v>
      </c>
      <c r="M35" t="s">
        <v>48</v>
      </c>
      <c r="N35" t="s">
        <v>18</v>
      </c>
    </row>
    <row r="36" spans="1:14" x14ac:dyDescent="0.3">
      <c r="A36">
        <v>20505</v>
      </c>
      <c r="B36" t="s">
        <v>36</v>
      </c>
      <c r="C36" t="s">
        <v>42</v>
      </c>
      <c r="D36">
        <v>40000</v>
      </c>
      <c r="E36">
        <v>5</v>
      </c>
      <c r="F36" t="s">
        <v>27</v>
      </c>
      <c r="G36" t="s">
        <v>21</v>
      </c>
      <c r="H36" t="s">
        <v>18</v>
      </c>
      <c r="I36">
        <v>2</v>
      </c>
      <c r="J36" t="s">
        <v>30</v>
      </c>
      <c r="K36" t="s">
        <v>32</v>
      </c>
      <c r="L36">
        <v>61</v>
      </c>
      <c r="M36" t="s">
        <v>48</v>
      </c>
      <c r="N36" t="s">
        <v>18</v>
      </c>
    </row>
    <row r="37" spans="1:14" x14ac:dyDescent="0.3">
      <c r="A37">
        <v>24643</v>
      </c>
      <c r="B37" t="s">
        <v>37</v>
      </c>
      <c r="C37" t="s">
        <v>42</v>
      </c>
      <c r="D37">
        <v>60000</v>
      </c>
      <c r="E37">
        <v>4</v>
      </c>
      <c r="F37" t="s">
        <v>13</v>
      </c>
      <c r="G37" t="s">
        <v>28</v>
      </c>
      <c r="H37" t="s">
        <v>15</v>
      </c>
      <c r="I37">
        <v>2</v>
      </c>
      <c r="J37" t="s">
        <v>30</v>
      </c>
      <c r="K37" t="s">
        <v>32</v>
      </c>
      <c r="L37">
        <v>63</v>
      </c>
      <c r="M37" t="s">
        <v>48</v>
      </c>
      <c r="N37" t="s">
        <v>18</v>
      </c>
    </row>
    <row r="38" spans="1:14" x14ac:dyDescent="0.3">
      <c r="A38">
        <v>23368</v>
      </c>
      <c r="B38" t="s">
        <v>36</v>
      </c>
      <c r="C38" t="s">
        <v>42</v>
      </c>
      <c r="D38">
        <v>60000</v>
      </c>
      <c r="E38">
        <v>5</v>
      </c>
      <c r="F38" t="s">
        <v>13</v>
      </c>
      <c r="G38" t="s">
        <v>14</v>
      </c>
      <c r="H38" t="s">
        <v>15</v>
      </c>
      <c r="I38">
        <v>3</v>
      </c>
      <c r="J38" t="s">
        <v>30</v>
      </c>
      <c r="K38" t="s">
        <v>32</v>
      </c>
      <c r="L38">
        <v>41</v>
      </c>
      <c r="M38" t="s">
        <v>47</v>
      </c>
      <c r="N38" t="s">
        <v>18</v>
      </c>
    </row>
    <row r="39" spans="1:14" x14ac:dyDescent="0.3">
      <c r="A39">
        <v>21441</v>
      </c>
      <c r="B39" t="s">
        <v>36</v>
      </c>
      <c r="C39" t="s">
        <v>38</v>
      </c>
      <c r="D39">
        <v>50000</v>
      </c>
      <c r="E39">
        <v>4</v>
      </c>
      <c r="F39" t="s">
        <v>13</v>
      </c>
      <c r="G39" t="s">
        <v>28</v>
      </c>
      <c r="H39" t="s">
        <v>15</v>
      </c>
      <c r="I39">
        <v>2</v>
      </c>
      <c r="J39" t="s">
        <v>30</v>
      </c>
      <c r="K39" t="s">
        <v>32</v>
      </c>
      <c r="L39">
        <v>64</v>
      </c>
      <c r="M39" t="s">
        <v>48</v>
      </c>
      <c r="N39" t="s">
        <v>18</v>
      </c>
    </row>
    <row r="40" spans="1:14" x14ac:dyDescent="0.3">
      <c r="A40">
        <v>12100</v>
      </c>
      <c r="B40" t="s">
        <v>37</v>
      </c>
      <c r="C40" t="s">
        <v>38</v>
      </c>
      <c r="D40">
        <v>60000</v>
      </c>
      <c r="E40">
        <v>2</v>
      </c>
      <c r="F40" t="s">
        <v>13</v>
      </c>
      <c r="G40" t="s">
        <v>28</v>
      </c>
      <c r="H40" t="s">
        <v>15</v>
      </c>
      <c r="I40">
        <v>0</v>
      </c>
      <c r="J40" t="s">
        <v>30</v>
      </c>
      <c r="K40" t="s">
        <v>32</v>
      </c>
      <c r="L40">
        <v>57</v>
      </c>
      <c r="M40" t="s">
        <v>48</v>
      </c>
      <c r="N40" t="s">
        <v>18</v>
      </c>
    </row>
    <row r="41" spans="1:14" x14ac:dyDescent="0.3">
      <c r="A41">
        <v>24943</v>
      </c>
      <c r="B41" t="s">
        <v>36</v>
      </c>
      <c r="C41" t="s">
        <v>38</v>
      </c>
      <c r="D41">
        <v>60000</v>
      </c>
      <c r="E41">
        <v>3</v>
      </c>
      <c r="F41" t="s">
        <v>13</v>
      </c>
      <c r="G41" t="s">
        <v>28</v>
      </c>
      <c r="H41" t="s">
        <v>15</v>
      </c>
      <c r="I41">
        <v>2</v>
      </c>
      <c r="J41" t="s">
        <v>30</v>
      </c>
      <c r="K41" t="s">
        <v>32</v>
      </c>
      <c r="L41">
        <v>66</v>
      </c>
      <c r="M41" t="s">
        <v>48</v>
      </c>
      <c r="N41" t="s">
        <v>18</v>
      </c>
    </row>
    <row r="42" spans="1:14" x14ac:dyDescent="0.3">
      <c r="A42">
        <v>20380</v>
      </c>
      <c r="B42" t="s">
        <v>36</v>
      </c>
      <c r="C42" t="s">
        <v>42</v>
      </c>
      <c r="D42">
        <v>60000</v>
      </c>
      <c r="E42">
        <v>3</v>
      </c>
      <c r="F42" t="s">
        <v>31</v>
      </c>
      <c r="G42" t="s">
        <v>28</v>
      </c>
      <c r="H42" t="s">
        <v>15</v>
      </c>
      <c r="I42">
        <v>2</v>
      </c>
      <c r="J42" t="s">
        <v>30</v>
      </c>
      <c r="K42" t="s">
        <v>32</v>
      </c>
      <c r="L42">
        <v>69</v>
      </c>
      <c r="M42" t="s">
        <v>48</v>
      </c>
      <c r="N42" t="s">
        <v>18</v>
      </c>
    </row>
    <row r="43" spans="1:14" x14ac:dyDescent="0.3">
      <c r="A43">
        <v>13388</v>
      </c>
      <c r="B43" t="s">
        <v>37</v>
      </c>
      <c r="C43" t="s">
        <v>38</v>
      </c>
      <c r="D43">
        <v>60000</v>
      </c>
      <c r="E43">
        <v>2</v>
      </c>
      <c r="F43" t="s">
        <v>19</v>
      </c>
      <c r="G43" t="s">
        <v>21</v>
      </c>
      <c r="H43" t="s">
        <v>15</v>
      </c>
      <c r="I43">
        <v>1</v>
      </c>
      <c r="J43" t="s">
        <v>30</v>
      </c>
      <c r="K43" t="s">
        <v>32</v>
      </c>
      <c r="L43">
        <v>56</v>
      </c>
      <c r="M43" t="s">
        <v>48</v>
      </c>
      <c r="N43" t="s">
        <v>18</v>
      </c>
    </row>
    <row r="44" spans="1:14" x14ac:dyDescent="0.3">
      <c r="A44">
        <v>26452</v>
      </c>
      <c r="B44" t="s">
        <v>37</v>
      </c>
      <c r="C44" t="s">
        <v>38</v>
      </c>
      <c r="D44">
        <v>50000</v>
      </c>
      <c r="E44">
        <v>3</v>
      </c>
      <c r="F44" t="s">
        <v>31</v>
      </c>
      <c r="G44" t="s">
        <v>28</v>
      </c>
      <c r="H44" t="s">
        <v>15</v>
      </c>
      <c r="I44">
        <v>2</v>
      </c>
      <c r="J44" t="s">
        <v>30</v>
      </c>
      <c r="K44" t="s">
        <v>32</v>
      </c>
      <c r="L44">
        <v>69</v>
      </c>
      <c r="M44" t="s">
        <v>48</v>
      </c>
      <c r="N44" t="s">
        <v>18</v>
      </c>
    </row>
    <row r="45" spans="1:14" x14ac:dyDescent="0.3">
      <c r="A45">
        <v>15895</v>
      </c>
      <c r="B45" t="s">
        <v>37</v>
      </c>
      <c r="C45" t="s">
        <v>42</v>
      </c>
      <c r="D45">
        <v>60000</v>
      </c>
      <c r="E45">
        <v>2</v>
      </c>
      <c r="F45" t="s">
        <v>13</v>
      </c>
      <c r="G45" t="s">
        <v>28</v>
      </c>
      <c r="H45" t="s">
        <v>15</v>
      </c>
      <c r="I45">
        <v>0</v>
      </c>
      <c r="J45" t="s">
        <v>30</v>
      </c>
      <c r="K45" t="s">
        <v>32</v>
      </c>
      <c r="L45">
        <v>58</v>
      </c>
      <c r="M45" t="s">
        <v>48</v>
      </c>
      <c r="N45" t="s">
        <v>18</v>
      </c>
    </row>
    <row r="46" spans="1:14" x14ac:dyDescent="0.3">
      <c r="A46">
        <v>27393</v>
      </c>
      <c r="B46" t="s">
        <v>36</v>
      </c>
      <c r="C46" t="s">
        <v>42</v>
      </c>
      <c r="D46">
        <v>50000</v>
      </c>
      <c r="E46">
        <v>4</v>
      </c>
      <c r="F46" t="s">
        <v>13</v>
      </c>
      <c r="G46" t="s">
        <v>28</v>
      </c>
      <c r="H46" t="s">
        <v>15</v>
      </c>
      <c r="I46">
        <v>2</v>
      </c>
      <c r="J46" t="s">
        <v>30</v>
      </c>
      <c r="K46" t="s">
        <v>32</v>
      </c>
      <c r="L46">
        <v>63</v>
      </c>
      <c r="M46" t="s">
        <v>48</v>
      </c>
      <c r="N46" t="s">
        <v>18</v>
      </c>
    </row>
    <row r="47" spans="1:14" x14ac:dyDescent="0.3">
      <c r="A47">
        <v>23893</v>
      </c>
      <c r="B47" t="s">
        <v>36</v>
      </c>
      <c r="C47" t="s">
        <v>38</v>
      </c>
      <c r="D47">
        <v>50000</v>
      </c>
      <c r="E47">
        <v>3</v>
      </c>
      <c r="F47" t="s">
        <v>13</v>
      </c>
      <c r="G47" t="s">
        <v>14</v>
      </c>
      <c r="H47" t="s">
        <v>15</v>
      </c>
      <c r="I47">
        <v>3</v>
      </c>
      <c r="J47" t="s">
        <v>30</v>
      </c>
      <c r="K47" t="s">
        <v>32</v>
      </c>
      <c r="L47">
        <v>41</v>
      </c>
      <c r="M47" t="s">
        <v>47</v>
      </c>
      <c r="N47" t="s">
        <v>18</v>
      </c>
    </row>
    <row r="48" spans="1:14" x14ac:dyDescent="0.3">
      <c r="A48">
        <v>24637</v>
      </c>
      <c r="B48" t="s">
        <v>36</v>
      </c>
      <c r="C48" t="s">
        <v>38</v>
      </c>
      <c r="D48">
        <v>40000</v>
      </c>
      <c r="E48">
        <v>4</v>
      </c>
      <c r="F48" t="s">
        <v>27</v>
      </c>
      <c r="G48" t="s">
        <v>21</v>
      </c>
      <c r="H48" t="s">
        <v>15</v>
      </c>
      <c r="I48">
        <v>2</v>
      </c>
      <c r="J48" t="s">
        <v>30</v>
      </c>
      <c r="K48" t="s">
        <v>32</v>
      </c>
      <c r="L48">
        <v>64</v>
      </c>
      <c r="M48" t="s">
        <v>48</v>
      </c>
      <c r="N48" t="s">
        <v>18</v>
      </c>
    </row>
    <row r="49" spans="1:14" x14ac:dyDescent="0.3">
      <c r="A49">
        <v>24941</v>
      </c>
      <c r="B49" t="s">
        <v>36</v>
      </c>
      <c r="C49" t="s">
        <v>38</v>
      </c>
      <c r="D49">
        <v>60000</v>
      </c>
      <c r="E49">
        <v>3</v>
      </c>
      <c r="F49" t="s">
        <v>13</v>
      </c>
      <c r="G49" t="s">
        <v>28</v>
      </c>
      <c r="H49" t="s">
        <v>15</v>
      </c>
      <c r="I49">
        <v>2</v>
      </c>
      <c r="J49" t="s">
        <v>30</v>
      </c>
      <c r="K49" t="s">
        <v>32</v>
      </c>
      <c r="L49">
        <v>66</v>
      </c>
      <c r="M49" t="s">
        <v>48</v>
      </c>
      <c r="N49" t="s">
        <v>18</v>
      </c>
    </row>
    <row r="50" spans="1:14" x14ac:dyDescent="0.3">
      <c r="A50">
        <v>24981</v>
      </c>
      <c r="B50" t="s">
        <v>36</v>
      </c>
      <c r="C50" t="s">
        <v>38</v>
      </c>
      <c r="D50">
        <v>60000</v>
      </c>
      <c r="E50">
        <v>2</v>
      </c>
      <c r="F50" t="s">
        <v>19</v>
      </c>
      <c r="G50" t="s">
        <v>21</v>
      </c>
      <c r="H50" t="s">
        <v>15</v>
      </c>
      <c r="I50">
        <v>2</v>
      </c>
      <c r="J50" t="s">
        <v>30</v>
      </c>
      <c r="K50" t="s">
        <v>32</v>
      </c>
      <c r="L50">
        <v>56</v>
      </c>
      <c r="M50" t="s">
        <v>48</v>
      </c>
      <c r="N50" t="s">
        <v>18</v>
      </c>
    </row>
    <row r="51" spans="1:14" x14ac:dyDescent="0.3">
      <c r="A51">
        <v>26415</v>
      </c>
      <c r="B51" t="s">
        <v>36</v>
      </c>
      <c r="C51" t="s">
        <v>42</v>
      </c>
      <c r="D51">
        <v>90000</v>
      </c>
      <c r="E51">
        <v>4</v>
      </c>
      <c r="F51" t="s">
        <v>29</v>
      </c>
      <c r="G51" t="s">
        <v>14</v>
      </c>
      <c r="H51" t="s">
        <v>15</v>
      </c>
      <c r="I51">
        <v>4</v>
      </c>
      <c r="J51" t="s">
        <v>30</v>
      </c>
      <c r="K51" t="s">
        <v>17</v>
      </c>
      <c r="L51">
        <v>58</v>
      </c>
      <c r="M51" t="s">
        <v>48</v>
      </c>
      <c r="N51" t="s">
        <v>18</v>
      </c>
    </row>
    <row r="52" spans="1:14" x14ac:dyDescent="0.3">
      <c r="A52">
        <v>21554</v>
      </c>
      <c r="B52" t="s">
        <v>37</v>
      </c>
      <c r="C52" t="s">
        <v>42</v>
      </c>
      <c r="D52">
        <v>80000</v>
      </c>
      <c r="E52">
        <v>0</v>
      </c>
      <c r="F52" t="s">
        <v>13</v>
      </c>
      <c r="G52" t="s">
        <v>21</v>
      </c>
      <c r="H52" t="s">
        <v>18</v>
      </c>
      <c r="I52">
        <v>3</v>
      </c>
      <c r="J52" t="s">
        <v>30</v>
      </c>
      <c r="K52" t="s">
        <v>24</v>
      </c>
      <c r="L52">
        <v>33</v>
      </c>
      <c r="M52" t="s">
        <v>47</v>
      </c>
      <c r="N52" t="s">
        <v>18</v>
      </c>
    </row>
    <row r="53" spans="1:14" x14ac:dyDescent="0.3">
      <c r="A53">
        <v>20619</v>
      </c>
      <c r="B53" t="s">
        <v>37</v>
      </c>
      <c r="C53" t="s">
        <v>38</v>
      </c>
      <c r="D53">
        <v>80000</v>
      </c>
      <c r="E53">
        <v>0</v>
      </c>
      <c r="F53" t="s">
        <v>13</v>
      </c>
      <c r="G53" t="s">
        <v>21</v>
      </c>
      <c r="H53" t="s">
        <v>18</v>
      </c>
      <c r="I53">
        <v>4</v>
      </c>
      <c r="J53" t="s">
        <v>30</v>
      </c>
      <c r="K53" t="s">
        <v>24</v>
      </c>
      <c r="L53">
        <v>35</v>
      </c>
      <c r="M53" t="s">
        <v>47</v>
      </c>
      <c r="N53" t="s">
        <v>18</v>
      </c>
    </row>
    <row r="54" spans="1:14" x14ac:dyDescent="0.3">
      <c r="A54">
        <v>14278</v>
      </c>
      <c r="B54" t="s">
        <v>36</v>
      </c>
      <c r="C54" t="s">
        <v>42</v>
      </c>
      <c r="D54">
        <v>130000</v>
      </c>
      <c r="E54">
        <v>0</v>
      </c>
      <c r="F54" t="s">
        <v>31</v>
      </c>
      <c r="G54" t="s">
        <v>28</v>
      </c>
      <c r="H54" t="s">
        <v>15</v>
      </c>
      <c r="I54">
        <v>1</v>
      </c>
      <c r="J54" t="s">
        <v>30</v>
      </c>
      <c r="K54" t="s">
        <v>24</v>
      </c>
      <c r="L54">
        <v>48</v>
      </c>
      <c r="M54" t="s">
        <v>47</v>
      </c>
      <c r="N54" t="s">
        <v>18</v>
      </c>
    </row>
    <row r="55" spans="1:14" x14ac:dyDescent="0.3">
      <c r="A55">
        <v>18153</v>
      </c>
      <c r="B55" t="s">
        <v>36</v>
      </c>
      <c r="C55" t="s">
        <v>42</v>
      </c>
      <c r="D55">
        <v>100000</v>
      </c>
      <c r="E55">
        <v>2</v>
      </c>
      <c r="F55" t="s">
        <v>13</v>
      </c>
      <c r="G55" t="s">
        <v>28</v>
      </c>
      <c r="H55" t="s">
        <v>15</v>
      </c>
      <c r="I55">
        <v>4</v>
      </c>
      <c r="J55" t="s">
        <v>30</v>
      </c>
      <c r="K55" t="s">
        <v>17</v>
      </c>
      <c r="L55">
        <v>59</v>
      </c>
      <c r="M55" t="s">
        <v>48</v>
      </c>
      <c r="N55" t="s">
        <v>18</v>
      </c>
    </row>
    <row r="56" spans="1:14" x14ac:dyDescent="0.3">
      <c r="A56">
        <v>25792</v>
      </c>
      <c r="B56" t="s">
        <v>37</v>
      </c>
      <c r="C56" t="s">
        <v>42</v>
      </c>
      <c r="D56">
        <v>110000</v>
      </c>
      <c r="E56">
        <v>3</v>
      </c>
      <c r="F56" t="s">
        <v>13</v>
      </c>
      <c r="G56" t="s">
        <v>28</v>
      </c>
      <c r="H56" t="s">
        <v>15</v>
      </c>
      <c r="I56">
        <v>4</v>
      </c>
      <c r="J56" t="s">
        <v>30</v>
      </c>
      <c r="K56" t="s">
        <v>17</v>
      </c>
      <c r="L56">
        <v>53</v>
      </c>
      <c r="M56" t="s">
        <v>47</v>
      </c>
      <c r="N56" t="s">
        <v>18</v>
      </c>
    </row>
    <row r="57" spans="1:14" x14ac:dyDescent="0.3">
      <c r="A57">
        <v>28906</v>
      </c>
      <c r="B57" t="s">
        <v>36</v>
      </c>
      <c r="C57" t="s">
        <v>38</v>
      </c>
      <c r="D57">
        <v>80000</v>
      </c>
      <c r="E57">
        <v>4</v>
      </c>
      <c r="F57" t="s">
        <v>27</v>
      </c>
      <c r="G57" t="s">
        <v>21</v>
      </c>
      <c r="H57" t="s">
        <v>15</v>
      </c>
      <c r="I57">
        <v>2</v>
      </c>
      <c r="J57" t="s">
        <v>30</v>
      </c>
      <c r="K57" t="s">
        <v>17</v>
      </c>
      <c r="L57">
        <v>54</v>
      </c>
      <c r="M57" t="s">
        <v>47</v>
      </c>
      <c r="N57" t="s">
        <v>18</v>
      </c>
    </row>
    <row r="58" spans="1:14" x14ac:dyDescent="0.3">
      <c r="A58">
        <v>13586</v>
      </c>
      <c r="B58" t="s">
        <v>36</v>
      </c>
      <c r="C58" t="s">
        <v>38</v>
      </c>
      <c r="D58">
        <v>80000</v>
      </c>
      <c r="E58">
        <v>4</v>
      </c>
      <c r="F58" t="s">
        <v>19</v>
      </c>
      <c r="G58" t="s">
        <v>21</v>
      </c>
      <c r="H58" t="s">
        <v>15</v>
      </c>
      <c r="I58">
        <v>2</v>
      </c>
      <c r="J58" t="s">
        <v>30</v>
      </c>
      <c r="K58" t="s">
        <v>17</v>
      </c>
      <c r="L58">
        <v>53</v>
      </c>
      <c r="M58" t="s">
        <v>47</v>
      </c>
      <c r="N58" t="s">
        <v>18</v>
      </c>
    </row>
    <row r="59" spans="1:14" x14ac:dyDescent="0.3">
      <c r="A59">
        <v>17324</v>
      </c>
      <c r="B59" t="s">
        <v>36</v>
      </c>
      <c r="C59" t="s">
        <v>42</v>
      </c>
      <c r="D59">
        <v>100000</v>
      </c>
      <c r="E59">
        <v>4</v>
      </c>
      <c r="F59" t="s">
        <v>13</v>
      </c>
      <c r="G59" t="s">
        <v>21</v>
      </c>
      <c r="H59" t="s">
        <v>15</v>
      </c>
      <c r="I59">
        <v>1</v>
      </c>
      <c r="J59" t="s">
        <v>30</v>
      </c>
      <c r="K59" t="s">
        <v>24</v>
      </c>
      <c r="L59">
        <v>46</v>
      </c>
      <c r="M59" t="s">
        <v>47</v>
      </c>
      <c r="N59" t="s">
        <v>18</v>
      </c>
    </row>
    <row r="60" spans="1:14" x14ac:dyDescent="0.3">
      <c r="A60">
        <v>17230</v>
      </c>
      <c r="B60" t="s">
        <v>36</v>
      </c>
      <c r="C60" t="s">
        <v>38</v>
      </c>
      <c r="D60">
        <v>80000</v>
      </c>
      <c r="E60">
        <v>0</v>
      </c>
      <c r="F60" t="s">
        <v>13</v>
      </c>
      <c r="G60" t="s">
        <v>21</v>
      </c>
      <c r="H60" t="s">
        <v>15</v>
      </c>
      <c r="I60">
        <v>3</v>
      </c>
      <c r="J60" t="s">
        <v>30</v>
      </c>
      <c r="K60" t="s">
        <v>24</v>
      </c>
      <c r="L60">
        <v>30</v>
      </c>
      <c r="M60" t="s">
        <v>49</v>
      </c>
      <c r="N60" t="s">
        <v>18</v>
      </c>
    </row>
    <row r="61" spans="1:14" x14ac:dyDescent="0.3">
      <c r="A61">
        <v>17238</v>
      </c>
      <c r="B61" t="s">
        <v>37</v>
      </c>
      <c r="C61" t="s">
        <v>38</v>
      </c>
      <c r="D61">
        <v>80000</v>
      </c>
      <c r="E61">
        <v>0</v>
      </c>
      <c r="F61" t="s">
        <v>13</v>
      </c>
      <c r="G61" t="s">
        <v>21</v>
      </c>
      <c r="H61" t="s">
        <v>15</v>
      </c>
      <c r="I61">
        <v>3</v>
      </c>
      <c r="J61" t="s">
        <v>30</v>
      </c>
      <c r="K61" t="s">
        <v>24</v>
      </c>
      <c r="L61">
        <v>32</v>
      </c>
      <c r="M61" t="s">
        <v>47</v>
      </c>
      <c r="N61" t="s">
        <v>18</v>
      </c>
    </row>
    <row r="62" spans="1:14" x14ac:dyDescent="0.3">
      <c r="A62">
        <v>24898</v>
      </c>
      <c r="B62" t="s">
        <v>37</v>
      </c>
      <c r="C62" t="s">
        <v>42</v>
      </c>
      <c r="D62">
        <v>80000</v>
      </c>
      <c r="E62">
        <v>0</v>
      </c>
      <c r="F62" t="s">
        <v>13</v>
      </c>
      <c r="G62" t="s">
        <v>21</v>
      </c>
      <c r="H62" t="s">
        <v>15</v>
      </c>
      <c r="I62">
        <v>3</v>
      </c>
      <c r="J62" t="s">
        <v>30</v>
      </c>
      <c r="K62" t="s">
        <v>24</v>
      </c>
      <c r="L62">
        <v>32</v>
      </c>
      <c r="M62" t="s">
        <v>47</v>
      </c>
      <c r="N62" t="s">
        <v>18</v>
      </c>
    </row>
    <row r="63" spans="1:14" x14ac:dyDescent="0.3">
      <c r="A63">
        <v>12663</v>
      </c>
      <c r="B63" t="s">
        <v>36</v>
      </c>
      <c r="C63" t="s">
        <v>42</v>
      </c>
      <c r="D63">
        <v>90000</v>
      </c>
      <c r="E63">
        <v>5</v>
      </c>
      <c r="F63" t="s">
        <v>29</v>
      </c>
      <c r="G63" t="s">
        <v>14</v>
      </c>
      <c r="H63" t="s">
        <v>15</v>
      </c>
      <c r="I63">
        <v>2</v>
      </c>
      <c r="J63" t="s">
        <v>30</v>
      </c>
      <c r="K63" t="s">
        <v>17</v>
      </c>
      <c r="L63">
        <v>59</v>
      </c>
      <c r="M63" t="s">
        <v>48</v>
      </c>
      <c r="N63" t="s">
        <v>18</v>
      </c>
    </row>
    <row r="64" spans="1:14" x14ac:dyDescent="0.3">
      <c r="A64">
        <v>19066</v>
      </c>
      <c r="B64" t="s">
        <v>36</v>
      </c>
      <c r="C64" t="s">
        <v>38</v>
      </c>
      <c r="D64">
        <v>130000</v>
      </c>
      <c r="E64">
        <v>4</v>
      </c>
      <c r="F64" t="s">
        <v>19</v>
      </c>
      <c r="G64" t="s">
        <v>21</v>
      </c>
      <c r="H64" t="s">
        <v>18</v>
      </c>
      <c r="I64">
        <v>3</v>
      </c>
      <c r="J64" t="s">
        <v>30</v>
      </c>
      <c r="K64" t="s">
        <v>17</v>
      </c>
      <c r="L64">
        <v>54</v>
      </c>
      <c r="M64" t="s">
        <v>47</v>
      </c>
      <c r="N64" t="s">
        <v>18</v>
      </c>
    </row>
    <row r="65" spans="1:14" x14ac:dyDescent="0.3">
      <c r="A65">
        <v>16185</v>
      </c>
      <c r="B65" t="s">
        <v>37</v>
      </c>
      <c r="C65" t="s">
        <v>38</v>
      </c>
      <c r="D65">
        <v>60000</v>
      </c>
      <c r="E65">
        <v>4</v>
      </c>
      <c r="F65" t="s">
        <v>13</v>
      </c>
      <c r="G65" t="s">
        <v>21</v>
      </c>
      <c r="H65" t="s">
        <v>15</v>
      </c>
      <c r="I65">
        <v>3</v>
      </c>
      <c r="J65" t="s">
        <v>30</v>
      </c>
      <c r="K65" t="s">
        <v>24</v>
      </c>
      <c r="L65">
        <v>41</v>
      </c>
      <c r="M65" t="s">
        <v>47</v>
      </c>
      <c r="N65" t="s">
        <v>18</v>
      </c>
    </row>
    <row r="66" spans="1:14" x14ac:dyDescent="0.3">
      <c r="A66">
        <v>23419</v>
      </c>
      <c r="B66" t="s">
        <v>37</v>
      </c>
      <c r="C66" t="s">
        <v>42</v>
      </c>
      <c r="D66">
        <v>70000</v>
      </c>
      <c r="E66">
        <v>5</v>
      </c>
      <c r="F66" t="s">
        <v>13</v>
      </c>
      <c r="G66" t="s">
        <v>21</v>
      </c>
      <c r="H66" t="s">
        <v>15</v>
      </c>
      <c r="I66">
        <v>3</v>
      </c>
      <c r="J66" t="s">
        <v>30</v>
      </c>
      <c r="K66" t="s">
        <v>24</v>
      </c>
      <c r="L66">
        <v>39</v>
      </c>
      <c r="M66" t="s">
        <v>47</v>
      </c>
      <c r="N66" t="s">
        <v>18</v>
      </c>
    </row>
    <row r="67" spans="1:14" x14ac:dyDescent="0.3">
      <c r="A67">
        <v>14193</v>
      </c>
      <c r="B67" t="s">
        <v>37</v>
      </c>
      <c r="C67" t="s">
        <v>42</v>
      </c>
      <c r="D67">
        <v>100000</v>
      </c>
      <c r="E67">
        <v>3</v>
      </c>
      <c r="F67" t="s">
        <v>19</v>
      </c>
      <c r="G67" t="s">
        <v>28</v>
      </c>
      <c r="H67" t="s">
        <v>15</v>
      </c>
      <c r="I67">
        <v>4</v>
      </c>
      <c r="J67" t="s">
        <v>30</v>
      </c>
      <c r="K67" t="s">
        <v>17</v>
      </c>
      <c r="L67">
        <v>56</v>
      </c>
      <c r="M67" t="s">
        <v>48</v>
      </c>
      <c r="N67" t="s">
        <v>18</v>
      </c>
    </row>
    <row r="68" spans="1:14" x14ac:dyDescent="0.3">
      <c r="A68">
        <v>22830</v>
      </c>
      <c r="B68" t="s">
        <v>36</v>
      </c>
      <c r="C68" t="s">
        <v>38</v>
      </c>
      <c r="D68">
        <v>120000</v>
      </c>
      <c r="E68">
        <v>4</v>
      </c>
      <c r="F68" t="s">
        <v>19</v>
      </c>
      <c r="G68" t="s">
        <v>28</v>
      </c>
      <c r="H68" t="s">
        <v>15</v>
      </c>
      <c r="I68">
        <v>3</v>
      </c>
      <c r="J68" t="s">
        <v>30</v>
      </c>
      <c r="K68" t="s">
        <v>17</v>
      </c>
      <c r="L68">
        <v>56</v>
      </c>
      <c r="M68" t="s">
        <v>48</v>
      </c>
      <c r="N68" t="s">
        <v>18</v>
      </c>
    </row>
    <row r="69" spans="1:14" x14ac:dyDescent="0.3">
      <c r="A69">
        <v>28915</v>
      </c>
      <c r="B69" t="s">
        <v>37</v>
      </c>
      <c r="C69" t="s">
        <v>38</v>
      </c>
      <c r="D69">
        <v>80000</v>
      </c>
      <c r="E69">
        <v>5</v>
      </c>
      <c r="F69" t="s">
        <v>27</v>
      </c>
      <c r="G69" t="s">
        <v>28</v>
      </c>
      <c r="H69" t="s">
        <v>15</v>
      </c>
      <c r="I69">
        <v>3</v>
      </c>
      <c r="J69" t="s">
        <v>30</v>
      </c>
      <c r="K69" t="s">
        <v>17</v>
      </c>
      <c r="L69">
        <v>57</v>
      </c>
      <c r="M69" t="s">
        <v>48</v>
      </c>
      <c r="N69" t="s">
        <v>18</v>
      </c>
    </row>
    <row r="70" spans="1:14" x14ac:dyDescent="0.3">
      <c r="A70">
        <v>18711</v>
      </c>
      <c r="B70" t="s">
        <v>37</v>
      </c>
      <c r="C70" t="s">
        <v>42</v>
      </c>
      <c r="D70">
        <v>70000</v>
      </c>
      <c r="E70">
        <v>5</v>
      </c>
      <c r="F70" t="s">
        <v>13</v>
      </c>
      <c r="G70" t="s">
        <v>21</v>
      </c>
      <c r="H70" t="s">
        <v>15</v>
      </c>
      <c r="I70">
        <v>4</v>
      </c>
      <c r="J70" t="s">
        <v>30</v>
      </c>
      <c r="K70" t="s">
        <v>24</v>
      </c>
      <c r="L70">
        <v>39</v>
      </c>
      <c r="M70" t="s">
        <v>47</v>
      </c>
      <c r="N70" t="s">
        <v>18</v>
      </c>
    </row>
    <row r="71" spans="1:14" x14ac:dyDescent="0.3">
      <c r="A71">
        <v>11415</v>
      </c>
      <c r="B71" t="s">
        <v>37</v>
      </c>
      <c r="C71" t="s">
        <v>38</v>
      </c>
      <c r="D71">
        <v>90000</v>
      </c>
      <c r="E71">
        <v>5</v>
      </c>
      <c r="F71" t="s">
        <v>19</v>
      </c>
      <c r="G71" t="s">
        <v>21</v>
      </c>
      <c r="H71" t="s">
        <v>18</v>
      </c>
      <c r="I71">
        <v>2</v>
      </c>
      <c r="J71" t="s">
        <v>30</v>
      </c>
      <c r="K71" t="s">
        <v>17</v>
      </c>
      <c r="L71">
        <v>62</v>
      </c>
      <c r="M71" t="s">
        <v>48</v>
      </c>
      <c r="N71" t="s">
        <v>18</v>
      </c>
    </row>
    <row r="72" spans="1:14" x14ac:dyDescent="0.3">
      <c r="A72">
        <v>26032</v>
      </c>
      <c r="B72" t="s">
        <v>36</v>
      </c>
      <c r="C72" t="s">
        <v>42</v>
      </c>
      <c r="D72">
        <v>70000</v>
      </c>
      <c r="E72">
        <v>5</v>
      </c>
      <c r="F72" t="s">
        <v>13</v>
      </c>
      <c r="G72" t="s">
        <v>21</v>
      </c>
      <c r="H72" t="s">
        <v>15</v>
      </c>
      <c r="I72">
        <v>4</v>
      </c>
      <c r="J72" t="s">
        <v>30</v>
      </c>
      <c r="K72" t="s">
        <v>24</v>
      </c>
      <c r="L72">
        <v>41</v>
      </c>
      <c r="M72" t="s">
        <v>47</v>
      </c>
      <c r="N72" t="s">
        <v>18</v>
      </c>
    </row>
    <row r="73" spans="1:14" x14ac:dyDescent="0.3">
      <c r="A73">
        <v>15682</v>
      </c>
      <c r="B73" t="s">
        <v>37</v>
      </c>
      <c r="C73" t="s">
        <v>42</v>
      </c>
      <c r="D73">
        <v>80000</v>
      </c>
      <c r="E73">
        <v>5</v>
      </c>
      <c r="F73" t="s">
        <v>13</v>
      </c>
      <c r="G73" t="s">
        <v>28</v>
      </c>
      <c r="H73" t="s">
        <v>15</v>
      </c>
      <c r="I73">
        <v>2</v>
      </c>
      <c r="J73" t="s">
        <v>30</v>
      </c>
      <c r="K73" t="s">
        <v>17</v>
      </c>
      <c r="L73">
        <v>62</v>
      </c>
      <c r="M73" t="s">
        <v>48</v>
      </c>
      <c r="N73" t="s">
        <v>18</v>
      </c>
    </row>
    <row r="74" spans="1:14" x14ac:dyDescent="0.3">
      <c r="A74">
        <v>18151</v>
      </c>
      <c r="B74" t="s">
        <v>37</v>
      </c>
      <c r="C74" t="s">
        <v>38</v>
      </c>
      <c r="D74">
        <v>80000</v>
      </c>
      <c r="E74">
        <v>5</v>
      </c>
      <c r="F74" t="s">
        <v>19</v>
      </c>
      <c r="G74" t="s">
        <v>21</v>
      </c>
      <c r="H74" t="s">
        <v>18</v>
      </c>
      <c r="I74">
        <v>2</v>
      </c>
      <c r="J74" t="s">
        <v>30</v>
      </c>
      <c r="K74" t="s">
        <v>17</v>
      </c>
      <c r="L74">
        <v>59</v>
      </c>
      <c r="M74" t="s">
        <v>48</v>
      </c>
      <c r="N74" t="s">
        <v>18</v>
      </c>
    </row>
    <row r="75" spans="1:14" x14ac:dyDescent="0.3">
      <c r="A75">
        <v>28918</v>
      </c>
      <c r="B75" t="s">
        <v>36</v>
      </c>
      <c r="C75" t="s">
        <v>42</v>
      </c>
      <c r="D75">
        <v>130000</v>
      </c>
      <c r="E75">
        <v>4</v>
      </c>
      <c r="F75" t="s">
        <v>27</v>
      </c>
      <c r="G75" t="s">
        <v>28</v>
      </c>
      <c r="H75" t="s">
        <v>18</v>
      </c>
      <c r="I75">
        <v>4</v>
      </c>
      <c r="J75" t="s">
        <v>30</v>
      </c>
      <c r="K75" t="s">
        <v>17</v>
      </c>
      <c r="L75">
        <v>58</v>
      </c>
      <c r="M75" t="s">
        <v>48</v>
      </c>
      <c r="N75" t="s">
        <v>18</v>
      </c>
    </row>
    <row r="76" spans="1:14" x14ac:dyDescent="0.3">
      <c r="A76">
        <v>14233</v>
      </c>
      <c r="B76" t="s">
        <v>37</v>
      </c>
      <c r="C76" t="s">
        <v>38</v>
      </c>
      <c r="D76">
        <v>100000</v>
      </c>
      <c r="E76">
        <v>0</v>
      </c>
      <c r="F76" t="s">
        <v>27</v>
      </c>
      <c r="G76" t="s">
        <v>28</v>
      </c>
      <c r="H76" t="s">
        <v>15</v>
      </c>
      <c r="I76">
        <v>3</v>
      </c>
      <c r="J76" t="s">
        <v>30</v>
      </c>
      <c r="K76" t="s">
        <v>24</v>
      </c>
      <c r="L76">
        <v>35</v>
      </c>
      <c r="M76" t="s">
        <v>47</v>
      </c>
      <c r="N76" t="s">
        <v>18</v>
      </c>
    </row>
    <row r="77" spans="1:14" x14ac:dyDescent="0.3">
      <c r="A77">
        <v>16614</v>
      </c>
      <c r="B77" t="s">
        <v>36</v>
      </c>
      <c r="C77" t="s">
        <v>42</v>
      </c>
      <c r="D77">
        <v>80000</v>
      </c>
      <c r="E77">
        <v>0</v>
      </c>
      <c r="F77" t="s">
        <v>13</v>
      </c>
      <c r="G77" t="s">
        <v>21</v>
      </c>
      <c r="H77" t="s">
        <v>15</v>
      </c>
      <c r="I77">
        <v>3</v>
      </c>
      <c r="J77" t="s">
        <v>30</v>
      </c>
      <c r="K77" t="s">
        <v>24</v>
      </c>
      <c r="L77">
        <v>32</v>
      </c>
      <c r="M77" t="s">
        <v>47</v>
      </c>
      <c r="N77" t="s">
        <v>18</v>
      </c>
    </row>
    <row r="78" spans="1:14" x14ac:dyDescent="0.3">
      <c r="A78">
        <v>12344</v>
      </c>
      <c r="B78" t="s">
        <v>37</v>
      </c>
      <c r="C78" t="s">
        <v>42</v>
      </c>
      <c r="D78">
        <v>80000</v>
      </c>
      <c r="E78">
        <v>0</v>
      </c>
      <c r="F78" t="s">
        <v>13</v>
      </c>
      <c r="G78" t="s">
        <v>21</v>
      </c>
      <c r="H78" t="s">
        <v>18</v>
      </c>
      <c r="I78">
        <v>3</v>
      </c>
      <c r="J78" t="s">
        <v>30</v>
      </c>
      <c r="K78" t="s">
        <v>24</v>
      </c>
      <c r="L78">
        <v>31</v>
      </c>
      <c r="M78" t="s">
        <v>47</v>
      </c>
      <c r="N78" t="s">
        <v>18</v>
      </c>
    </row>
    <row r="79" spans="1:14" x14ac:dyDescent="0.3">
      <c r="A79">
        <v>17197</v>
      </c>
      <c r="B79" t="s">
        <v>37</v>
      </c>
      <c r="C79" t="s">
        <v>42</v>
      </c>
      <c r="D79">
        <v>90000</v>
      </c>
      <c r="E79">
        <v>5</v>
      </c>
      <c r="F79" t="s">
        <v>19</v>
      </c>
      <c r="G79" t="s">
        <v>21</v>
      </c>
      <c r="H79" t="s">
        <v>15</v>
      </c>
      <c r="I79">
        <v>2</v>
      </c>
      <c r="J79" t="s">
        <v>30</v>
      </c>
      <c r="K79" t="s">
        <v>17</v>
      </c>
      <c r="L79">
        <v>62</v>
      </c>
      <c r="M79" t="s">
        <v>48</v>
      </c>
      <c r="N79" t="s">
        <v>18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204C-7F52-4B7E-A563-E7E1C5CCC728}">
  <dimension ref="A3:D39"/>
  <sheetViews>
    <sheetView workbookViewId="0">
      <selection activeCell="F56" sqref="F56"/>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44</v>
      </c>
      <c r="B3" s="4" t="s">
        <v>45</v>
      </c>
    </row>
    <row r="4" spans="1:4" x14ac:dyDescent="0.3">
      <c r="A4" s="4" t="s">
        <v>40</v>
      </c>
      <c r="B4" t="s">
        <v>18</v>
      </c>
      <c r="C4" t="s">
        <v>15</v>
      </c>
      <c r="D4" t="s">
        <v>41</v>
      </c>
    </row>
    <row r="5" spans="1:4" x14ac:dyDescent="0.3">
      <c r="A5" s="5" t="s">
        <v>42</v>
      </c>
      <c r="B5" s="3">
        <v>92500</v>
      </c>
      <c r="C5" s="3">
        <v>90000</v>
      </c>
      <c r="D5" s="3">
        <v>92000</v>
      </c>
    </row>
    <row r="6" spans="1:4" x14ac:dyDescent="0.3">
      <c r="A6" s="5" t="s">
        <v>38</v>
      </c>
      <c r="B6" s="3">
        <v>105000</v>
      </c>
      <c r="C6" s="3">
        <v>81666.666666666672</v>
      </c>
      <c r="D6" s="3">
        <v>87500</v>
      </c>
    </row>
    <row r="7" spans="1:4" x14ac:dyDescent="0.3">
      <c r="A7" s="5" t="s">
        <v>41</v>
      </c>
      <c r="B7" s="3">
        <v>96666.666666666672</v>
      </c>
      <c r="C7" s="3">
        <v>82857.142857142855</v>
      </c>
      <c r="D7" s="3">
        <v>89230.769230769234</v>
      </c>
    </row>
    <row r="17" spans="1:4" x14ac:dyDescent="0.3">
      <c r="A17" s="4" t="s">
        <v>46</v>
      </c>
      <c r="B17" s="4" t="s">
        <v>45</v>
      </c>
    </row>
    <row r="18" spans="1:4" x14ac:dyDescent="0.3">
      <c r="A18" s="4" t="s">
        <v>40</v>
      </c>
      <c r="B18" t="s">
        <v>18</v>
      </c>
      <c r="C18" t="s">
        <v>15</v>
      </c>
      <c r="D18" t="s">
        <v>41</v>
      </c>
    </row>
    <row r="19" spans="1:4" x14ac:dyDescent="0.3">
      <c r="A19" s="5" t="s">
        <v>16</v>
      </c>
      <c r="B19">
        <v>4</v>
      </c>
      <c r="C19">
        <v>3</v>
      </c>
      <c r="D19">
        <v>7</v>
      </c>
    </row>
    <row r="20" spans="1:4" x14ac:dyDescent="0.3">
      <c r="A20" s="5" t="s">
        <v>26</v>
      </c>
      <c r="C20">
        <v>1</v>
      </c>
      <c r="D20">
        <v>1</v>
      </c>
    </row>
    <row r="21" spans="1:4" x14ac:dyDescent="0.3">
      <c r="A21" s="5" t="s">
        <v>22</v>
      </c>
      <c r="C21">
        <v>2</v>
      </c>
      <c r="D21">
        <v>2</v>
      </c>
    </row>
    <row r="22" spans="1:4" x14ac:dyDescent="0.3">
      <c r="A22" s="5" t="s">
        <v>23</v>
      </c>
      <c r="B22">
        <v>1</v>
      </c>
      <c r="C22">
        <v>1</v>
      </c>
      <c r="D22">
        <v>2</v>
      </c>
    </row>
    <row r="23" spans="1:4" x14ac:dyDescent="0.3">
      <c r="A23" s="5" t="s">
        <v>50</v>
      </c>
      <c r="B23">
        <v>1</v>
      </c>
      <c r="D23">
        <v>1</v>
      </c>
    </row>
    <row r="24" spans="1:4" x14ac:dyDescent="0.3">
      <c r="A24" s="5" t="s">
        <v>41</v>
      </c>
      <c r="B24">
        <v>6</v>
      </c>
      <c r="C24">
        <v>7</v>
      </c>
      <c r="D24">
        <v>13</v>
      </c>
    </row>
    <row r="35" spans="1:4" x14ac:dyDescent="0.3">
      <c r="A35" s="4" t="s">
        <v>46</v>
      </c>
      <c r="B35" s="4" t="s">
        <v>45</v>
      </c>
    </row>
    <row r="36" spans="1:4" x14ac:dyDescent="0.3">
      <c r="A36" s="4" t="s">
        <v>40</v>
      </c>
      <c r="B36" t="s">
        <v>18</v>
      </c>
      <c r="C36" t="s">
        <v>15</v>
      </c>
      <c r="D36" t="s">
        <v>41</v>
      </c>
    </row>
    <row r="37" spans="1:4" x14ac:dyDescent="0.3">
      <c r="A37" s="5" t="s">
        <v>47</v>
      </c>
      <c r="B37">
        <v>6</v>
      </c>
      <c r="C37">
        <v>4</v>
      </c>
      <c r="D37">
        <v>10</v>
      </c>
    </row>
    <row r="38" spans="1:4" x14ac:dyDescent="0.3">
      <c r="A38" s="5" t="s">
        <v>48</v>
      </c>
      <c r="C38">
        <v>3</v>
      </c>
      <c r="D38">
        <v>3</v>
      </c>
    </row>
    <row r="39" spans="1:4" x14ac:dyDescent="0.3">
      <c r="A39" s="5" t="s">
        <v>41</v>
      </c>
      <c r="B39">
        <v>6</v>
      </c>
      <c r="C39">
        <v>7</v>
      </c>
      <c r="D39">
        <v>13</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working sheet</vt:lpstr>
      <vt:lpstr>Dashboard</vt:lpstr>
      <vt:lpstr>Sheet1</vt:lpstr>
      <vt:lpstr>Sheet3</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Oluwasheyi</dc:creator>
  <cp:lastModifiedBy>Samuel Oluwasheyi</cp:lastModifiedBy>
  <dcterms:created xsi:type="dcterms:W3CDTF">2022-03-18T02:50:57Z</dcterms:created>
  <dcterms:modified xsi:type="dcterms:W3CDTF">2026-01-29T07:47:25Z</dcterms:modified>
</cp:coreProperties>
</file>